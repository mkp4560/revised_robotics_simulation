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README_Data_Dictionary" sheetId="1" state="visible" r:id="rId1"/>
    <sheet xmlns:r="http://schemas.openxmlformats.org/officeDocument/2006/relationships" name="Colony_Relocation_Master" sheetId="2" state="visible" r:id="rId2"/>
    <sheet xmlns:r="http://schemas.openxmlformats.org/officeDocument/2006/relationships" name="Jam_Events_Log" sheetId="3" state="visible" r:id="rId3"/>
    <sheet xmlns:r="http://schemas.openxmlformats.org/officeDocument/2006/relationships" name="Jam_Temporal_Distribution" sheetId="4" state="visible" r:id="rId4"/>
    <sheet xmlns:r="http://schemas.openxmlformats.org/officeDocument/2006/relationships" name="Traffic_Direction_Sync" sheetId="5" state="visible" r:id="rId5"/>
    <sheet xmlns:r="http://schemas.openxmlformats.org/officeDocument/2006/relationships" name="Historical_Recruitment_Ref" sheetId="6" state="visible" r:id="rId6"/>
    <sheet xmlns:r="http://schemas.openxmlformats.org/officeDocument/2006/relationships" name="Fig2_Extracted_Data" sheetId="7" state="visible" r:id="rId7"/>
    <sheet xmlns:r="http://schemas.openxmlformats.org/officeDocument/2006/relationships" name="Fig3_Recruitment_Data" sheetId="8" state="visible" r:id="rId8"/>
    <sheet xmlns:r="http://schemas.openxmlformats.org/officeDocument/2006/relationships" name="Fig4_Deciles_and_Polar" sheetId="9" state="visible" r:id="rId9"/>
    <sheet xmlns:r="http://schemas.openxmlformats.org/officeDocument/2006/relationships" name="Statistical_Hypothesis_Audit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\+0.00;\-0.00;0.00"/>
    <numFmt numFmtId="167" formatCode="+0.0%"/>
  </numFmts>
  <fonts count="2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5"/>
    </font>
    <font>
      <name val="Calibri"/>
      <charset val="1"/>
      <family val="0"/>
      <b val="1"/>
      <color rgb="FF1B365D"/>
      <sz val="10.5"/>
    </font>
    <font>
      <name val="Calibri"/>
      <charset val="1"/>
      <family val="0"/>
      <sz val="10.5"/>
    </font>
    <font>
      <name val="Calibri"/>
      <charset val="1"/>
      <family val="0"/>
      <b val="1"/>
      <color rgb="FF1B365D"/>
      <sz val="12"/>
    </font>
    <font>
      <name val="Calibri"/>
      <charset val="1"/>
      <family val="0"/>
      <b val="1"/>
      <color rgb="FFFFFFFF"/>
      <sz val="10.5"/>
    </font>
    <font>
      <name val="Calibri"/>
      <charset val="1"/>
      <family val="0"/>
      <sz val="10"/>
    </font>
    <font>
      <name val="Calibri"/>
      <charset val="1"/>
      <family val="0"/>
      <sz val="9.5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color rgb="FF555555"/>
      <sz val="10"/>
    </font>
    <font>
      <name val="Calibri"/>
      <charset val="1"/>
      <family val="0"/>
      <b val="1"/>
      <color rgb="FF1B365D"/>
      <sz val="10"/>
    </font>
    <font>
      <name val="Calibri"/>
      <charset val="1"/>
      <family val="0"/>
      <b val="1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FFFFFF"/>
      <sz val="9.5"/>
    </font>
    <font>
      <name val="Calibri"/>
      <charset val="1"/>
      <family val="0"/>
      <b val="1"/>
      <sz val="9.5"/>
    </font>
    <font>
      <name val="Calibri"/>
      <charset val="1"/>
      <family val="0"/>
      <b val="1"/>
      <color rgb="FF1B365D"/>
      <sz val="11"/>
    </font>
    <font>
      <name val="Calibri"/>
      <b val="1"/>
      <color rgb="000F2C59"/>
      <sz val="13"/>
    </font>
    <font>
      <name val="Calibri"/>
      <i val="1"/>
      <color rgb="004A6FA5"/>
      <sz val="10"/>
    </font>
    <font>
      <name val="Calibri"/>
      <b val="1"/>
      <color rgb="00FFFFFF"/>
      <sz val="10"/>
    </font>
    <font>
      <name val="Calibri"/>
      <color rgb="00000000"/>
      <sz val="9.5"/>
    </font>
    <font>
      <name val="Calibri"/>
      <b val="1"/>
      <color rgb="00000000"/>
      <sz val="9.5"/>
    </font>
  </fonts>
  <fills count="10">
    <fill>
      <patternFill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2C5282"/>
        <bgColor rgb="FF1B365D"/>
      </patternFill>
    </fill>
    <fill>
      <patternFill patternType="solid">
        <fgColor rgb="FFF4F7FA"/>
        <bgColor rgb="FFFFFFFF"/>
      </patternFill>
    </fill>
    <fill>
      <patternFill patternType="solid">
        <fgColor rgb="000F2C59"/>
        <bgColor rgb="000F2C59"/>
      </patternFill>
    </fill>
    <fill>
      <patternFill patternType="solid">
        <fgColor rgb="00FEF9E7"/>
        <bgColor rgb="00FEF9E7"/>
      </patternFill>
    </fill>
    <fill>
      <patternFill patternType="solid">
        <fgColor rgb="002A9D8F"/>
        <bgColor rgb="002A9D8F"/>
      </patternFill>
    </fill>
    <fill>
      <patternFill patternType="solid">
        <fgColor rgb="004A6FA5"/>
        <bgColor rgb="004A6FA5"/>
      </patternFill>
    </fill>
    <fill>
      <patternFill patternType="solid">
        <fgColor rgb="00E6F0FA"/>
        <bgColor rgb="00E6F0FA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B365D"/>
      </top>
      <bottom style="double">
        <color rgb="FF1B365D"/>
      </bottom>
      <diagonal/>
    </border>
    <border>
      <left style="thin">
        <color rgb="00FFFFFF"/>
      </left>
      <right style="thin">
        <color rgb="00FFFFFF"/>
      </right>
      <top style="medium">
        <color rgb="000F2C59"/>
      </top>
      <bottom style="medium">
        <color rgb="000F2C5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10" fontId="9" fillId="4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64" fontId="14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0" fontId="14" fillId="0" borderId="1" applyAlignment="1" pivotButton="0" quotePrefix="0" xfId="0">
      <alignment horizontal="right" vertical="center"/>
    </xf>
    <xf numFmtId="2" fontId="14" fillId="0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right" vertical="center"/>
    </xf>
    <xf numFmtId="10" fontId="10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17" fillId="0" borderId="2" applyAlignment="1" pivotButton="0" quotePrefix="0" xfId="0">
      <alignment horizontal="left" vertical="center"/>
    </xf>
    <xf numFmtId="3" fontId="17" fillId="0" borderId="2" applyAlignment="1" pivotButton="0" quotePrefix="0" xfId="0">
      <alignment horizontal="right" vertical="center"/>
    </xf>
    <xf numFmtId="10" fontId="17" fillId="0" borderId="2" applyAlignment="1" pivotButton="0" quotePrefix="0" xfId="0">
      <alignment horizontal="right" vertical="center"/>
    </xf>
    <xf numFmtId="0" fontId="17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2" fontId="14" fillId="0" borderId="2" applyAlignment="1" pivotButton="0" quotePrefix="0" xfId="0">
      <alignment horizontal="right" vertical="center"/>
    </xf>
    <xf numFmtId="10" fontId="14" fillId="0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3" fontId="14" fillId="0" borderId="1" applyAlignment="1" pivotButton="0" quotePrefix="0" xfId="0">
      <alignment horizontal="right" vertical="center"/>
    </xf>
    <xf numFmtId="10" fontId="14" fillId="0" borderId="2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3" fontId="14" fillId="0" borderId="2" applyAlignment="1" pivotButton="0" quotePrefix="0" xfId="0">
      <alignment horizontal="right" vertical="center"/>
    </xf>
    <xf numFmtId="0" fontId="14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10" fontId="9" fillId="4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64" fontId="14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0" fontId="14" fillId="0" borderId="1" applyAlignment="1" pivotButton="0" quotePrefix="0" xfId="0">
      <alignment horizontal="right" vertical="center"/>
    </xf>
    <xf numFmtId="2" fontId="14" fillId="0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right" vertical="center"/>
    </xf>
    <xf numFmtId="10" fontId="10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17" fillId="0" borderId="2" applyAlignment="1" pivotButton="0" quotePrefix="0" xfId="0">
      <alignment horizontal="left" vertical="center"/>
    </xf>
    <xf numFmtId="3" fontId="17" fillId="0" borderId="2" applyAlignment="1" pivotButton="0" quotePrefix="0" xfId="0">
      <alignment horizontal="right" vertical="center"/>
    </xf>
    <xf numFmtId="10" fontId="17" fillId="0" borderId="2" applyAlignment="1" pivotButton="0" quotePrefix="0" xfId="0">
      <alignment horizontal="right" vertical="center"/>
    </xf>
    <xf numFmtId="0" fontId="17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2" fontId="14" fillId="0" borderId="2" applyAlignment="1" pivotButton="0" quotePrefix="0" xfId="0">
      <alignment horizontal="right" vertical="center"/>
    </xf>
    <xf numFmtId="10" fontId="14" fillId="0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3" fontId="14" fillId="0" borderId="1" applyAlignment="1" pivotButton="0" quotePrefix="0" xfId="0">
      <alignment horizontal="right" vertical="center"/>
    </xf>
    <xf numFmtId="10" fontId="14" fillId="0" borderId="2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3" fontId="14" fillId="0" borderId="2" applyAlignment="1" pivotButton="0" quotePrefix="0" xfId="0">
      <alignment horizontal="right" vertical="center"/>
    </xf>
    <xf numFmtId="0" fontId="14" fillId="0" borderId="2" applyAlignment="1" pivotButton="0" quotePrefix="0" xfId="0">
      <alignment horizontal="right" vertical="center"/>
    </xf>
    <xf numFmtId="0" fontId="19" fillId="0" borderId="0" pivotButton="0" quotePrefix="0" xfId="0"/>
    <xf numFmtId="0" fontId="20" fillId="0" borderId="0" pivotButton="0" quotePrefix="0" xfId="0"/>
    <xf numFmtId="0" fontId="21" fillId="5" borderId="3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right" vertical="center"/>
    </xf>
    <xf numFmtId="0" fontId="23" fillId="0" borderId="4" applyAlignment="1" pivotButton="0" quotePrefix="0" xfId="0">
      <alignment horizontal="right" vertical="center"/>
    </xf>
    <xf numFmtId="0" fontId="23" fillId="6" borderId="4" pivotButton="0" quotePrefix="0" xfId="0"/>
    <xf numFmtId="0" fontId="23" fillId="6" borderId="4" applyAlignment="1" pivotButton="0" quotePrefix="0" xfId="0">
      <alignment horizontal="right" vertical="center"/>
    </xf>
    <xf numFmtId="0" fontId="21" fillId="7" borderId="3" applyAlignment="1" pivotButton="0" quotePrefix="0" xfId="0">
      <alignment horizontal="center" vertical="center" wrapText="1"/>
    </xf>
    <xf numFmtId="165" fontId="22" fillId="0" borderId="4" applyAlignment="1" pivotButton="0" quotePrefix="0" xfId="0">
      <alignment horizontal="right" vertical="center"/>
    </xf>
    <xf numFmtId="167" fontId="23" fillId="0" borderId="4" applyAlignment="1" pivotButton="0" quotePrefix="0" xfId="0">
      <alignment horizontal="right" vertical="center"/>
    </xf>
    <xf numFmtId="0" fontId="23" fillId="0" borderId="0" pivotButton="0" quotePrefix="0" xfId="0"/>
    <xf numFmtId="0" fontId="21" fillId="8" borderId="3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left" vertical="center" wrapText="1"/>
    </xf>
    <xf numFmtId="0" fontId="22" fillId="6" borderId="4" applyAlignment="1" pivotButton="0" quotePrefix="0" xfId="0">
      <alignment horizontal="center" vertical="center" wrapText="1"/>
    </xf>
    <xf numFmtId="0" fontId="22" fillId="6" borderId="4" applyAlignment="1" pivotButton="0" quotePrefix="0" xfId="0">
      <alignment horizontal="right" vertical="center"/>
    </xf>
    <xf numFmtId="165" fontId="22" fillId="6" borderId="4" applyAlignment="1" pivotButton="0" quotePrefix="0" xfId="0">
      <alignment horizontal="right" vertical="center"/>
    </xf>
    <xf numFmtId="0" fontId="22" fillId="6" borderId="4" applyAlignment="1" pivotButton="0" quotePrefix="0" xfId="0">
      <alignment horizontal="left" vertical="center" wrapText="1"/>
    </xf>
    <xf numFmtId="0" fontId="22" fillId="9" borderId="4" applyAlignment="1" pivotButton="0" quotePrefix="0" xfId="0">
      <alignment horizontal="center" vertical="center" wrapText="1"/>
    </xf>
    <xf numFmtId="0" fontId="22" fillId="9" borderId="4" applyAlignment="1" pivotButton="0" quotePrefix="0" xfId="0">
      <alignment horizontal="left" vertical="center" wrapText="1"/>
    </xf>
    <xf numFmtId="0" fontId="23" fillId="9" borderId="4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65D"/>
      <rgbColor rgb="FF339966"/>
      <rgbColor rgb="FF003300"/>
      <rgbColor rgb="FF333300"/>
      <rgbColor rgb="FF993300"/>
      <rgbColor rgb="FF993366"/>
      <rgbColor rgb="FF2C5282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40" customWidth="1" style="54" min="1" max="2"/>
    <col width="37" customWidth="1" style="54" min="3" max="3"/>
    <col width="40" customWidth="1" style="54" min="4" max="5"/>
  </cols>
  <sheetData>
    <row r="1" ht="31.5" customHeight="1" s="55">
      <c r="A1" s="56" t="inlineStr">
        <is>
          <t>MASTER DATASET: TRAFFIC FLOW &amp; JAM RESOLUTION DYNAMICS IN DIACAMMA INDICUM</t>
        </is>
      </c>
    </row>
    <row r="3" ht="19.5" customHeight="1" s="55">
      <c r="A3" s="57" t="inlineStr">
        <is>
          <t>Study Title</t>
        </is>
      </c>
      <c r="B3" s="58" t="inlineStr">
        <is>
          <t>Adaptive decisions enable ants to resolve traffic jams</t>
        </is>
      </c>
    </row>
    <row r="4" ht="19.5" customHeight="1" s="55">
      <c r="A4" s="57" t="inlineStr">
        <is>
          <t>Model Organism</t>
        </is>
      </c>
      <c r="B4" s="58" t="inlineStr">
        <is>
          <t>Diacamma indicum (queenless ponerine ant)</t>
        </is>
      </c>
    </row>
    <row r="5" ht="19.5" customHeight="1" s="55">
      <c r="A5" s="57" t="inlineStr">
        <is>
          <t>Experimental Treatments</t>
        </is>
      </c>
      <c r="B5" s="58" t="inlineStr">
        <is>
          <t>Multi-lane bridge (Control, 2.5 cm wide) vs. One-lane bottleneck bridge (Manipulation, 0.5 cm wide constriction)</t>
        </is>
      </c>
    </row>
    <row r="6" ht="19.5" customHeight="1" s="55">
      <c r="A6" s="57" t="inlineStr">
        <is>
          <t>Colonies Investigated</t>
        </is>
      </c>
      <c r="B6" s="58" t="inlineStr">
        <is>
          <t>12 colonies (sizes: 54 to 160 adult workers, mean = 87.08 ± 32.24)</t>
        </is>
      </c>
    </row>
    <row r="7" ht="19.5" customHeight="1" s="55">
      <c r="A7" s="57" t="inlineStr">
        <is>
          <t>Dataset Scope</t>
        </is>
      </c>
      <c r="B7" s="58" t="inlineStr">
        <is>
          <t>Consolidated master archive integrating colony relocations, jam logs, temporal slots, directional sync, and simulation baselines</t>
        </is>
      </c>
    </row>
    <row r="8" ht="19.5" customHeight="1" s="55">
      <c r="A8" s="57" t="inlineStr">
        <is>
          <t>Curator &amp; Standard</t>
        </is>
      </c>
      <c r="B8" s="58" t="inlineStr">
        <is>
          <t>Consolidated scientific master dataset prepared following strict scientific reporting and FAIR data principles</t>
        </is>
      </c>
    </row>
    <row r="10" ht="15" customHeight="1" s="55">
      <c r="A10" s="59" t="inlineStr">
        <is>
          <t>WORKBOOK SHEET ARCHITECTURE</t>
        </is>
      </c>
    </row>
    <row r="11" ht="24" customHeight="1" s="55">
      <c r="A11" s="60" t="inlineStr">
        <is>
          <t>Sheet Name</t>
        </is>
      </c>
      <c r="B11" s="60" t="inlineStr">
        <is>
          <t>Description &amp; Scientific Scope</t>
        </is>
      </c>
      <c r="C11" s="60" t="inlineStr">
        <is>
          <t>Primary Entities</t>
        </is>
      </c>
      <c r="D11" s="60" t="inlineStr">
        <is>
          <t>Row Count</t>
        </is>
      </c>
      <c r="E11" s="60" t="inlineStr">
        <is>
          <t>Key Scientific Variables</t>
        </is>
      </c>
    </row>
    <row r="12" ht="19.5" customHeight="1" s="55">
      <c r="A12" s="61" t="inlineStr">
        <is>
          <t>Colony_Relocation_Master</t>
        </is>
      </c>
      <c r="B12" s="61" t="inlineStr">
        <is>
          <t>Master table of 24 paired colony relocation experiments comparing multi-lane control vs. one-lane bottleneck.</t>
        </is>
      </c>
      <c r="C12" s="61" t="inlineStr">
        <is>
          <t>Colony × Treatment</t>
        </is>
      </c>
      <c r="D12" s="61" t="inlineStr">
        <is>
          <t>24 rows (12 colonies × 2 conditions)</t>
        </is>
      </c>
      <c r="E12" s="61" t="inlineStr">
        <is>
          <t>Encounters, interruptions, jams, transport time, % successful TR, MR-LF, MR-SO</t>
        </is>
      </c>
    </row>
    <row r="13" ht="19.5" customHeight="1" s="55">
      <c r="A13" s="62" t="inlineStr">
        <is>
          <t>Jam_Events_Log</t>
        </is>
      </c>
      <c r="B13" s="62" t="inlineStr">
        <is>
          <t>Comprehensive log of all 56 empirical traffic jam events observed in the one-lane bottleneck setup.</t>
        </is>
      </c>
      <c r="C13" s="62" t="inlineStr">
        <is>
          <t>Individual Jam Events</t>
        </is>
      </c>
      <c r="D13" s="62" t="inlineStr">
        <is>
          <t>56 events across 12 colonies</t>
        </is>
      </c>
      <c r="E13" s="62" t="inlineStr">
        <is>
          <t>Jam creator role, start/end time, duration (sec), resolution time (sec), mass orientation outcome</t>
        </is>
      </c>
    </row>
    <row r="14" ht="19.5" customHeight="1" s="55">
      <c r="A14" s="61" t="inlineStr">
        <is>
          <t>Jam_Temporal_Distribution</t>
        </is>
      </c>
      <c r="B14" s="61" t="inlineStr">
        <is>
          <t>Distribution of jam events across 10 deciles of colony relocation progress (0-10% to 91-100%).</t>
        </is>
      </c>
      <c r="C14" s="61" t="inlineStr">
        <is>
          <t>Colony × Time Decile</t>
        </is>
      </c>
      <c r="D14" s="61" t="inlineStr">
        <is>
          <t>12 colonies × 10 deciles</t>
        </is>
      </c>
      <c r="E14" s="61" t="inlineStr">
        <is>
          <t>Jam counts per decile, colony jam totals, mean peak time slot (58.6%)</t>
        </is>
      </c>
    </row>
    <row r="15" ht="19.5" customHeight="1" s="55">
      <c r="A15" s="62" t="inlineStr">
        <is>
          <t>Traffic_Direction_Sync</t>
        </is>
      </c>
      <c r="B15" s="62" t="inlineStr">
        <is>
          <t>Longitudinal time-series records of ant heading direction and polar alignment in the 30 cm focal window.</t>
        </is>
      </c>
      <c r="C15" s="62" t="inlineStr">
        <is>
          <t>Colony × Time Snapshot</t>
        </is>
      </c>
      <c r="D15" s="62" t="inlineStr">
        <is>
          <t>348 observations (12 colonies × 29 points)</t>
        </is>
      </c>
      <c r="E15" s="62" t="inlineStr">
        <is>
          <t>Heading toward new nest, toward old nest, other, total ants, polar order parameter</t>
        </is>
      </c>
    </row>
    <row r="16" ht="19.5" customHeight="1" s="55">
      <c r="A16" s="61" t="inlineStr">
        <is>
          <t>Historical_Recruitment_Ref</t>
        </is>
      </c>
      <c r="B16" s="61" t="inlineStr">
        <is>
          <t>Reference empirical baseline of leader recruitment progression over time from Mukhopadhyay &amp; Annagiri (2021).</t>
        </is>
      </c>
      <c r="C16" s="61" t="inlineStr">
        <is>
          <t>Colony × Decile &amp; Individual Ants</t>
        </is>
      </c>
      <c r="D16" s="61" t="inlineStr">
        <is>
          <t>10 reference colonies + DI831 leader workload</t>
        </is>
      </c>
      <c r="E16" s="61" t="inlineStr">
        <is>
          <t>Leader recruitment curve (deciles 0-100%), individual tandem runs performed per leader</t>
        </is>
      </c>
    </row>
    <row r="18" ht="15" customHeight="1" s="55">
      <c r="A18" s="59" t="inlineStr">
        <is>
          <t>DATA DICTIONARY &amp; OPERATIONAL DEFINITIONS</t>
        </is>
      </c>
    </row>
    <row r="19" ht="24" customHeight="1" s="55">
      <c r="A19" s="60" t="inlineStr">
        <is>
          <t>Variable Name</t>
        </is>
      </c>
      <c r="B19" s="60" t="inlineStr">
        <is>
          <t>Associated Sheet(s)</t>
        </is>
      </c>
      <c r="C19" s="60" t="inlineStr">
        <is>
          <t>Data Type</t>
        </is>
      </c>
      <c r="D19" s="60" t="inlineStr">
        <is>
          <t>Measurement Unit</t>
        </is>
      </c>
      <c r="E19" s="60" t="inlineStr">
        <is>
          <t>Scientific Definition &amp; Operational Criteria</t>
        </is>
      </c>
    </row>
    <row r="20" ht="18.75" customHeight="1" s="55">
      <c r="A20" s="63" t="inlineStr">
        <is>
          <t>colony_id</t>
        </is>
      </c>
      <c r="B20" s="63" t="inlineStr">
        <is>
          <t>All sheets</t>
        </is>
      </c>
      <c r="C20" s="63" t="inlineStr">
        <is>
          <t>String</t>
        </is>
      </c>
      <c r="D20" s="63" t="inlineStr">
        <is>
          <t>Categorical Code</t>
        </is>
      </c>
      <c r="E20" s="63" t="inlineStr">
        <is>
          <t>Unique colony identification alphanumeric string (DI831 to DI849).</t>
        </is>
      </c>
    </row>
    <row r="21" ht="18.75" customHeight="1" s="55">
      <c r="A21" s="64" t="inlineStr">
        <is>
          <t>colony_size</t>
        </is>
      </c>
      <c r="B21" s="64" t="inlineStr">
        <is>
          <t>Colony_Relocation_Master, Jam_Events_Log</t>
        </is>
      </c>
      <c r="C21" s="64" t="inlineStr">
        <is>
          <t>Integer</t>
        </is>
      </c>
      <c r="D21" s="64" t="inlineStr">
        <is>
          <t>Number of ants</t>
        </is>
      </c>
      <c r="E21" s="64" t="inlineStr">
        <is>
          <t>Total adult ant worker population in the colony prior to relocation.</t>
        </is>
      </c>
    </row>
    <row r="22" ht="18.75" customHeight="1" s="55">
      <c r="A22" s="63" t="inlineStr">
        <is>
          <t>treatment / path_width</t>
        </is>
      </c>
      <c r="B22" s="63" t="inlineStr">
        <is>
          <t>Colony_Relocation_Master</t>
        </is>
      </c>
      <c r="C22" s="63" t="inlineStr">
        <is>
          <t>String</t>
        </is>
      </c>
      <c r="D22" s="63" t="inlineStr">
        <is>
          <t>Treatment factor</t>
        </is>
      </c>
      <c r="E22" s="63" t="inlineStr">
        <is>
          <t>Physical bridge structure: 'Control (Multi-lane)' (2.5 cm wide) vs. 'Manipulation (One-lane)' (0.5 cm constriction).</t>
        </is>
      </c>
    </row>
    <row r="23" ht="18.75" customHeight="1" s="55">
      <c r="A23" s="64" t="inlineStr">
        <is>
          <t>num_leaders</t>
        </is>
      </c>
      <c r="B23" s="64" t="inlineStr">
        <is>
          <t>Colony_Relocation_Master</t>
        </is>
      </c>
      <c r="C23" s="64" t="inlineStr">
        <is>
          <t>Integer</t>
        </is>
      </c>
      <c r="D23" s="64" t="inlineStr">
        <is>
          <t>Count of ants</t>
        </is>
      </c>
      <c r="E23" s="64" t="inlineStr">
        <is>
          <t>Total number of distinct adult workers participating as tandem leaders during the relocation.</t>
        </is>
      </c>
    </row>
    <row r="24" ht="18.75" customHeight="1" s="55">
      <c r="A24" s="63" t="inlineStr">
        <is>
          <t>percent_leaders</t>
        </is>
      </c>
      <c r="B24" s="63" t="inlineStr">
        <is>
          <t>Colony_Relocation_Master</t>
        </is>
      </c>
      <c r="C24" s="63" t="inlineStr">
        <is>
          <t>Percentage</t>
        </is>
      </c>
      <c r="D24" s="63" t="inlineStr">
        <is>
          <t>% of colony size</t>
        </is>
      </c>
      <c r="E24" s="63" t="inlineStr">
        <is>
          <t>Proportion of the colony population acting as tandem leaders (num_leaders / colony_size * 100).</t>
        </is>
      </c>
    </row>
    <row r="25" ht="18.75" customHeight="1" s="55">
      <c r="A25" s="64" t="inlineStr">
        <is>
          <t>encounters</t>
        </is>
      </c>
      <c r="B25" s="64" t="inlineStr">
        <is>
          <t>Colony_Relocation_Master</t>
        </is>
      </c>
      <c r="C25" s="64" t="inlineStr">
        <is>
          <t>Integer</t>
        </is>
      </c>
      <c r="D25" s="64" t="inlineStr">
        <is>
          <t>Event count</t>
        </is>
      </c>
      <c r="E25" s="64" t="inlineStr">
        <is>
          <t>Total head-on meetings between opposing individuals along the bridge.</t>
        </is>
      </c>
    </row>
    <row r="26" ht="18.75" customHeight="1" s="55">
      <c r="A26" s="63" t="inlineStr">
        <is>
          <t>interruptions</t>
        </is>
      </c>
      <c r="B26" s="63" t="inlineStr">
        <is>
          <t>Colony_Relocation_Master</t>
        </is>
      </c>
      <c r="C26" s="63" t="inlineStr">
        <is>
          <t>Integer</t>
        </is>
      </c>
      <c r="D26" s="63" t="inlineStr">
        <is>
          <t>Event count</t>
        </is>
      </c>
      <c r="E26" s="63" t="inlineStr">
        <is>
          <t>Tandem runs experiencing complete antennal separation or immobility &gt;= 2 seconds.</t>
        </is>
      </c>
    </row>
    <row r="27" ht="18.75" customHeight="1" s="55">
      <c r="A27" s="64" t="inlineStr">
        <is>
          <t>traffic_jams</t>
        </is>
      </c>
      <c r="B27" s="64" t="inlineStr">
        <is>
          <t>Colony_Relocation_Master, Jam_Events_Log</t>
        </is>
      </c>
      <c r="C27" s="64" t="inlineStr">
        <is>
          <t>Integer</t>
        </is>
      </c>
      <c r="D27" s="64" t="inlineStr">
        <is>
          <t>Event count</t>
        </is>
      </c>
      <c r="E27" s="64" t="inlineStr">
        <is>
          <t>Instances where ants remained immobile (&lt;1 body length / 1 cm in 4 s) with &gt;= 1 tandem pair or brood carrier queued behind.</t>
        </is>
      </c>
    </row>
    <row r="28" ht="18.75" customHeight="1" s="55">
      <c r="A28" s="63" t="inlineStr">
        <is>
          <t>discovery_time_sec / min</t>
        </is>
      </c>
      <c r="B28" s="63" t="inlineStr">
        <is>
          <t>Colony_Relocation_Master</t>
        </is>
      </c>
      <c r="C28" s="63" t="inlineStr">
        <is>
          <t>Float</t>
        </is>
      </c>
      <c r="D28" s="63" t="inlineStr">
        <is>
          <t>Seconds / Minutes</t>
        </is>
      </c>
      <c r="E28" s="63" t="inlineStr">
        <is>
          <t>Time elapsed from application of light stress until first worker scout enters the new nest.</t>
        </is>
      </c>
    </row>
    <row r="29" ht="18.75" customHeight="1" s="55">
      <c r="A29" s="64" t="inlineStr">
        <is>
          <t>latency_time_sec / min</t>
        </is>
      </c>
      <c r="B29" s="64" t="inlineStr">
        <is>
          <t>Colony_Relocation_Master</t>
        </is>
      </c>
      <c r="C29" s="64" t="inlineStr">
        <is>
          <t>Float</t>
        </is>
      </c>
      <c r="D29" s="64" t="inlineStr">
        <is>
          <t>Seconds / Minutes</t>
        </is>
      </c>
      <c r="E29" s="64" t="inlineStr">
        <is>
          <t>Time elapsed between first nest discovery and initiation of the first tandem run departing old nest.</t>
        </is>
      </c>
    </row>
    <row r="30" ht="18.75" customHeight="1" s="55">
      <c r="A30" s="63" t="inlineStr">
        <is>
          <t>transport_time_sec / min</t>
        </is>
      </c>
      <c r="B30" s="63" t="inlineStr">
        <is>
          <t>Colony_Relocation_Master</t>
        </is>
      </c>
      <c r="C30" s="63" t="inlineStr">
        <is>
          <t>Float</t>
        </is>
      </c>
      <c r="D30" s="63" t="inlineStr">
        <is>
          <t>Seconds / Minutes</t>
        </is>
      </c>
      <c r="E30" s="63" t="inlineStr">
        <is>
          <t>Duration from initiation of the first tandem run until the last colony member/brood enters the new nest.</t>
        </is>
      </c>
    </row>
    <row r="31" ht="18.75" customHeight="1" s="55">
      <c r="A31" s="64" t="inlineStr">
        <is>
          <t>total_relocation_time_min</t>
        </is>
      </c>
      <c r="B31" s="64" t="inlineStr">
        <is>
          <t>Colony_Relocation_Master</t>
        </is>
      </c>
      <c r="C31" s="64" t="inlineStr">
        <is>
          <t>Integer</t>
        </is>
      </c>
      <c r="D31" s="64" t="inlineStr">
        <is>
          <t>Minutes</t>
        </is>
      </c>
      <c r="E31" s="64" t="inlineStr">
        <is>
          <t>Total elapsed relocation duration (discovery + latency + transport phase).</t>
        </is>
      </c>
    </row>
    <row r="32" ht="18.75" customHeight="1" s="55">
      <c r="A32" s="63" t="inlineStr">
        <is>
          <t>successful_tr_percent</t>
        </is>
      </c>
      <c r="B32" s="63" t="inlineStr">
        <is>
          <t>Colony_Relocation_Master</t>
        </is>
      </c>
      <c r="C32" s="63" t="inlineStr">
        <is>
          <t>Percentage</t>
        </is>
      </c>
      <c r="D32" s="63" t="inlineStr">
        <is>
          <t>% of total runs</t>
        </is>
      </c>
      <c r="E32" s="63" t="inlineStr">
        <is>
          <t>Percentage of observed tandem runs passing through the focal area without disruption.</t>
        </is>
      </c>
    </row>
    <row r="33" ht="18.75" customHeight="1" s="55">
      <c r="A33" s="64" t="inlineStr">
        <is>
          <t>midway_tandem_runs</t>
        </is>
      </c>
      <c r="B33" s="64" t="inlineStr">
        <is>
          <t>Colony_Relocation_Master</t>
        </is>
      </c>
      <c r="C33" s="64" t="inlineStr">
        <is>
          <t>Integer</t>
        </is>
      </c>
      <c r="D33" s="64" t="inlineStr">
        <is>
          <t>Count</t>
        </is>
      </c>
      <c r="E33" s="64" t="inlineStr">
        <is>
          <t>Total tandem runs formed on the track/bridge rather than inside the old nest.</t>
        </is>
      </c>
    </row>
    <row r="34" ht="18.75" customHeight="1" s="55">
      <c r="A34" s="63" t="inlineStr">
        <is>
          <t>switchover_by_rl (MR-SO)</t>
        </is>
      </c>
      <c r="B34" s="63" t="inlineStr">
        <is>
          <t>Colony_Relocation_Master</t>
        </is>
      </c>
      <c r="C34" s="63" t="inlineStr">
        <is>
          <t>Integer</t>
        </is>
      </c>
      <c r="D34" s="63" t="inlineStr">
        <is>
          <t>Count</t>
        </is>
      </c>
      <c r="E34" s="63" t="inlineStr">
        <is>
          <t>Midway recruitment where a returning leader recruits the follower of an existing tandem pair and reverses toward new nest.</t>
        </is>
      </c>
    </row>
    <row r="35" ht="18.75" customHeight="1" s="55">
      <c r="A35" s="64" t="inlineStr">
        <is>
          <t>new_tr_by_rl (MR-LF)</t>
        </is>
      </c>
      <c r="B35" s="64" t="inlineStr">
        <is>
          <t>Colony_Relocation_Master</t>
        </is>
      </c>
      <c r="C35" s="64" t="inlineStr">
        <is>
          <t>Integer</t>
        </is>
      </c>
      <c r="D35" s="64" t="inlineStr">
        <is>
          <t>Count</t>
        </is>
      </c>
      <c r="E35" s="64" t="inlineStr">
        <is>
          <t>Midway recruitment where a returning leader recruits a wandering, leaderless lost follower.</t>
        </is>
      </c>
    </row>
    <row r="36" ht="18.75" customHeight="1" s="55">
      <c r="A36" s="63" t="inlineStr">
        <is>
          <t>percent_switchover (p_so)</t>
        </is>
      </c>
      <c r="B36" s="63" t="inlineStr">
        <is>
          <t>Colony_Relocation_Master</t>
        </is>
      </c>
      <c r="C36" s="63" t="inlineStr">
        <is>
          <t>Percentage</t>
        </is>
      </c>
      <c r="D36" s="63" t="inlineStr">
        <is>
          <t>% of unique runs</t>
        </is>
      </c>
      <c r="E36" s="63" t="inlineStr">
        <is>
          <t>Proportion of total tandem runs resulting from switching-over events.</t>
        </is>
      </c>
    </row>
    <row r="37" ht="18.75" customHeight="1" s="55">
      <c r="A37" s="64" t="inlineStr">
        <is>
          <t>percent_new_tr (p_ntp)</t>
        </is>
      </c>
      <c r="B37" s="64" t="inlineStr">
        <is>
          <t>Colony_Relocation_Master</t>
        </is>
      </c>
      <c r="C37" s="64" t="inlineStr">
        <is>
          <t>Percentage</t>
        </is>
      </c>
      <c r="D37" s="64" t="inlineStr">
        <is>
          <t>% of unique runs</t>
        </is>
      </c>
      <c r="E37" s="64" t="inlineStr">
        <is>
          <t>Proportion of total tandem runs resulting from lost follower midway recruitments.</t>
        </is>
      </c>
    </row>
    <row r="38" ht="18.75" customHeight="1" s="55">
      <c r="A38" s="63" t="inlineStr">
        <is>
          <t>percent_leaders_at_mtr</t>
        </is>
      </c>
      <c r="B38" s="63" t="inlineStr">
        <is>
          <t>Colony_Relocation_Master</t>
        </is>
      </c>
      <c r="C38" s="63" t="inlineStr">
        <is>
          <t>Percentage</t>
        </is>
      </c>
      <c r="D38" s="63" t="inlineStr">
        <is>
          <t>% of leaders</t>
        </is>
      </c>
      <c r="E38" s="63" t="inlineStr">
        <is>
          <t>Proportion of active leaders participating in midway recruitment events.</t>
        </is>
      </c>
    </row>
    <row r="39" ht="18.75" customHeight="1" s="55">
      <c r="A39" s="64" t="inlineStr">
        <is>
          <t>mass_orientation_events</t>
        </is>
      </c>
      <c r="B39" s="64" t="inlineStr">
        <is>
          <t>Colony_Relocation_Master, Jam_Events_Log</t>
        </is>
      </c>
      <c r="C39" s="64" t="inlineStr">
        <is>
          <t>Integer</t>
        </is>
      </c>
      <c r="D39" s="64" t="inlineStr">
        <is>
          <t>Count</t>
        </is>
      </c>
      <c r="E39" s="64" t="inlineStr">
        <is>
          <t>Instances where &gt;= 80% of individuals stalled at a traffic jam synchronously aligned their bodies toward the new nest.</t>
        </is>
      </c>
    </row>
    <row r="40" ht="18.75" customHeight="1" s="55">
      <c r="A40" s="63" t="inlineStr">
        <is>
          <t>jam_creator_role</t>
        </is>
      </c>
      <c r="B40" s="63" t="inlineStr">
        <is>
          <t>Jam_Events_Log</t>
        </is>
      </c>
      <c r="C40" s="63" t="inlineStr">
        <is>
          <t>String</t>
        </is>
      </c>
      <c r="D40" s="63" t="inlineStr">
        <is>
          <t>Categorical Code</t>
        </is>
      </c>
      <c r="E40" s="63" t="inlineStr">
        <is>
          <t>Identity role of the individual whose arrival initiated the jam: RL = Returning Leader, BT = Brood Transporter, LF = Lost Follower.</t>
        </is>
      </c>
    </row>
    <row r="41" ht="18.75" customHeight="1" s="55">
      <c r="A41" s="64" t="inlineStr">
        <is>
          <t>jam_duration_seconds</t>
        </is>
      </c>
      <c r="B41" s="64" t="inlineStr">
        <is>
          <t>Jam_Events_Log</t>
        </is>
      </c>
      <c r="C41" s="64" t="inlineStr">
        <is>
          <t>Integer</t>
        </is>
      </c>
      <c r="D41" s="64" t="inlineStr">
        <is>
          <t>Seconds</t>
        </is>
      </c>
      <c r="E41" s="64" t="inlineStr">
        <is>
          <t>Total elapsed duration of the traffic jam from initial standstill until clearance.</t>
        </is>
      </c>
    </row>
    <row r="42" ht="18.75" customHeight="1" s="55">
      <c r="A42" s="63" t="inlineStr">
        <is>
          <t>jam_resolution_time_sec</t>
        </is>
      </c>
      <c r="B42" s="63" t="inlineStr">
        <is>
          <t>Jam_Events_Log</t>
        </is>
      </c>
      <c r="C42" s="63" t="inlineStr">
        <is>
          <t>Integer</t>
        </is>
      </c>
      <c r="D42" s="63" t="inlineStr">
        <is>
          <t>Seconds</t>
        </is>
      </c>
      <c r="E42" s="63" t="inlineStr">
        <is>
          <t>Time taken to resolve the jam beyond the initial 4-second qualifying threshold (duration - 4).</t>
        </is>
      </c>
    </row>
    <row r="43" ht="18.75" customHeight="1" s="55">
      <c r="A43" s="64" t="inlineStr">
        <is>
          <t>toward_new_nest</t>
        </is>
      </c>
      <c r="B43" s="64" t="inlineStr">
        <is>
          <t>Traffic_Direction_Sync</t>
        </is>
      </c>
      <c r="C43" s="64" t="inlineStr">
        <is>
          <t>Integer</t>
        </is>
      </c>
      <c r="D43" s="64" t="inlineStr">
        <is>
          <t>Ant count</t>
        </is>
      </c>
      <c r="E43" s="64" t="inlineStr">
        <is>
          <t>Number of ants oriented with heading direction toward the new habitable nest (+x).</t>
        </is>
      </c>
    </row>
    <row r="44" ht="18.75" customHeight="1" s="55">
      <c r="A44" s="63" t="inlineStr">
        <is>
          <t>toward_old_nest</t>
        </is>
      </c>
      <c r="B44" s="63" t="inlineStr">
        <is>
          <t>Traffic_Direction_Sync</t>
        </is>
      </c>
      <c r="C44" s="63" t="inlineStr">
        <is>
          <t>Integer</t>
        </is>
      </c>
      <c r="D44" s="63" t="inlineStr">
        <is>
          <t>Ant count</t>
        </is>
      </c>
      <c r="E44" s="63" t="inlineStr">
        <is>
          <t>Number of ants oriented with heading direction toward the stressed old nest (-x).</t>
        </is>
      </c>
    </row>
    <row r="45" ht="18.75" customHeight="1" s="55">
      <c r="A45" s="64" t="inlineStr">
        <is>
          <t>net_polar_alignment</t>
        </is>
      </c>
      <c r="B45" s="64" t="inlineStr">
        <is>
          <t>Traffic_Direction_Sync</t>
        </is>
      </c>
      <c r="C45" s="64" t="inlineStr">
        <is>
          <t>Float</t>
        </is>
      </c>
      <c r="D45" s="64" t="inlineStr">
        <is>
          <t>Dimensionless [-1, 1]</t>
        </is>
      </c>
      <c r="E45" s="64" t="inlineStr">
        <is>
          <t>Polar order parameter Phi = (toward_new_nest - toward_old_nest) / total_ants.</t>
        </is>
      </c>
    </row>
  </sheetData>
  <mergeCells count="7">
    <mergeCell ref="B3:G3"/>
    <mergeCell ref="A1:G1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20" customWidth="1" style="54" min="1" max="1"/>
    <col width="15" customWidth="1" style="54" min="2" max="2"/>
    <col width="27" customWidth="1" style="54" min="3" max="3"/>
    <col width="18" customWidth="1" style="54" min="4" max="4"/>
    <col width="23" customWidth="1" style="54" min="5" max="5"/>
    <col width="14" customWidth="1" style="54" min="6" max="6"/>
    <col width="17" customWidth="1" style="54" min="7" max="7"/>
    <col width="16" customWidth="1" style="54" min="8" max="8"/>
    <col width="17" customWidth="1" style="54" min="9" max="9"/>
    <col width="19" customWidth="1" style="54" min="10" max="10"/>
    <col width="15" customWidth="1" style="54" min="11" max="11"/>
    <col width="17" customWidth="1" style="54" min="12" max="13"/>
    <col width="19" customWidth="1" style="54" min="14" max="14"/>
    <col width="20" customWidth="1" style="54" min="15" max="15"/>
    <col width="23" customWidth="1" style="54" min="16" max="16"/>
    <col width="19" customWidth="1" style="54" min="17" max="17"/>
    <col width="13" customWidth="1" style="54" min="18" max="18"/>
    <col width="22" customWidth="1" style="54" min="19" max="19"/>
    <col width="24" customWidth="1" style="54" min="20" max="20"/>
    <col width="23" customWidth="1" style="54" min="21" max="22"/>
    <col width="27" customWidth="1" style="54" min="23" max="23"/>
  </cols>
  <sheetData>
    <row r="1" ht="27.75" customHeight="1" s="55">
      <c r="A1" s="65" t="inlineStr">
        <is>
          <t>COLONY-LEVEL RELOCATION EXPERIMENTAL MASTER DATASET (N = 12 COLONIES, 24 TRIALS)</t>
        </is>
      </c>
    </row>
    <row r="2" ht="18" customHeight="1" s="55">
      <c r="A2" s="66" t="inlineStr">
        <is>
          <t>Paired Repeated-Measures Design: Multi-lane Control (2.5 cm) vs. One-lane Constriction (0.5 cm). Complete Empirical Parameter Integration.</t>
        </is>
      </c>
    </row>
    <row r="4" ht="27.75" customHeight="1" s="55">
      <c r="A4" s="67" t="inlineStr">
        <is>
          <t>Colony ID</t>
        </is>
      </c>
      <c r="B4" s="67" t="inlineStr">
        <is>
          <t>Colony Size</t>
        </is>
      </c>
      <c r="C4" s="67" t="inlineStr">
        <is>
          <t>Treatment Condition</t>
        </is>
      </c>
      <c r="D4" s="67" t="inlineStr">
        <is>
          <t>Active Leaders</t>
        </is>
      </c>
      <c r="E4" s="67" t="inlineStr">
        <is>
          <t>% Leaders</t>
        </is>
      </c>
      <c r="F4" s="67" t="inlineStr">
        <is>
          <t>Encounters</t>
        </is>
      </c>
      <c r="G4" s="67" t="inlineStr">
        <is>
          <t>Interruptions</t>
        </is>
      </c>
      <c r="H4" s="67" t="inlineStr">
        <is>
          <t>Traffic Jams</t>
        </is>
      </c>
      <c r="I4" s="67" t="inlineStr">
        <is>
          <t>Discovery (s)</t>
        </is>
      </c>
      <c r="J4" s="67" t="inlineStr">
        <is>
          <t>Discovery (min)</t>
        </is>
      </c>
      <c r="K4" s="67" t="inlineStr">
        <is>
          <t>Latency (s)</t>
        </is>
      </c>
      <c r="L4" s="67" t="inlineStr">
        <is>
          <t>Latency (min)</t>
        </is>
      </c>
      <c r="M4" s="67" t="inlineStr">
        <is>
          <t>Transport (s)</t>
        </is>
      </c>
      <c r="N4" s="67" t="inlineStr">
        <is>
          <t>Transport (min)</t>
        </is>
      </c>
      <c r="O4" s="67" t="inlineStr">
        <is>
          <t>Relocation (min)</t>
        </is>
      </c>
      <c r="P4" s="67" t="inlineStr">
        <is>
          <t>% Successful TR</t>
        </is>
      </c>
      <c r="Q4" s="67" t="inlineStr">
        <is>
          <t>Unique TR Count</t>
        </is>
      </c>
      <c r="R4" s="67" t="inlineStr">
        <is>
          <t>Midway TR</t>
        </is>
      </c>
      <c r="S4" s="67" t="inlineStr">
        <is>
          <t>Switchover (MR-SO)</t>
        </is>
      </c>
      <c r="T4" s="67" t="inlineStr">
        <is>
          <t>% Switchover</t>
        </is>
      </c>
      <c r="U4" s="67" t="inlineStr">
        <is>
          <t>Lost Ant TR (MR-LF)</t>
        </is>
      </c>
      <c r="V4" s="67" t="inlineStr">
        <is>
          <t>% Lost Ant TR</t>
        </is>
      </c>
      <c r="W4" s="67" t="inlineStr">
        <is>
          <t>Mass Orientation Events</t>
        </is>
      </c>
    </row>
    <row r="5" ht="18.75" customHeight="1" s="55">
      <c r="A5" s="61" t="inlineStr">
        <is>
          <t>DI831</t>
        </is>
      </c>
      <c r="B5" s="68" t="n">
        <v>54</v>
      </c>
      <c r="C5" s="61" t="inlineStr">
        <is>
          <t>Control (Multi-lane)</t>
        </is>
      </c>
      <c r="D5" s="68" t="n">
        <v>11</v>
      </c>
      <c r="E5" s="69" t="n">
        <v>0.2037037</v>
      </c>
      <c r="F5" s="68" t="n">
        <v>26</v>
      </c>
      <c r="G5" s="68" t="n">
        <v>6</v>
      </c>
      <c r="H5" s="68" t="n">
        <v>0</v>
      </c>
      <c r="I5" s="68" t="n">
        <v>300</v>
      </c>
      <c r="J5" s="70" t="n">
        <v>5</v>
      </c>
      <c r="K5" s="68" t="n">
        <v>180</v>
      </c>
      <c r="L5" s="70" t="n">
        <v>3</v>
      </c>
      <c r="M5" s="68" t="n">
        <v>780</v>
      </c>
      <c r="N5" s="70" t="n">
        <v>13</v>
      </c>
      <c r="O5" s="68" t="n">
        <v>21</v>
      </c>
      <c r="P5" s="69" t="n">
        <v>0.75</v>
      </c>
      <c r="Q5" s="68" t="n">
        <v>36</v>
      </c>
      <c r="R5" s="68" t="n">
        <v>9</v>
      </c>
      <c r="S5" s="68" t="n">
        <v>4</v>
      </c>
      <c r="T5" s="69" t="n">
        <v>0.1111111</v>
      </c>
      <c r="U5" s="68" t="n">
        <v>5</v>
      </c>
      <c r="V5" s="69" t="n">
        <v>0.1388889</v>
      </c>
      <c r="W5" s="68" t="n">
        <v>0</v>
      </c>
    </row>
    <row r="6" ht="18.75" customHeight="1" s="55">
      <c r="A6" s="62" t="inlineStr">
        <is>
          <t>DI832</t>
        </is>
      </c>
      <c r="B6" s="71" t="n">
        <v>90</v>
      </c>
      <c r="C6" s="62" t="inlineStr">
        <is>
          <t>Control (Multi-lane)</t>
        </is>
      </c>
      <c r="D6" s="71" t="n">
        <v>17</v>
      </c>
      <c r="E6" s="72" t="n">
        <v>0.1888889</v>
      </c>
      <c r="F6" s="71" t="n">
        <v>35</v>
      </c>
      <c r="G6" s="71" t="n">
        <v>12</v>
      </c>
      <c r="H6" s="71" t="n">
        <v>0</v>
      </c>
      <c r="I6" s="71" t="n">
        <v>120</v>
      </c>
      <c r="J6" s="73" t="n">
        <v>2</v>
      </c>
      <c r="K6" s="71" t="n">
        <v>410</v>
      </c>
      <c r="L6" s="73" t="n">
        <v>6.5</v>
      </c>
      <c r="M6" s="71" t="n">
        <v>900</v>
      </c>
      <c r="N6" s="73" t="n">
        <v>15</v>
      </c>
      <c r="O6" s="71" t="n">
        <v>23</v>
      </c>
      <c r="P6" s="72" t="n">
        <v>0.89873418</v>
      </c>
      <c r="Q6" s="71" t="n">
        <v>79</v>
      </c>
      <c r="R6" s="71" t="n">
        <v>8</v>
      </c>
      <c r="S6" s="71" t="n">
        <v>4</v>
      </c>
      <c r="T6" s="72" t="n">
        <v>0.05063291</v>
      </c>
      <c r="U6" s="71" t="n">
        <v>4</v>
      </c>
      <c r="V6" s="72" t="n">
        <v>0.05063291</v>
      </c>
      <c r="W6" s="71" t="n">
        <v>0</v>
      </c>
    </row>
    <row r="7" ht="18.75" customHeight="1" s="55">
      <c r="A7" s="61" t="inlineStr">
        <is>
          <t>DI833</t>
        </is>
      </c>
      <c r="B7" s="68" t="n">
        <v>110</v>
      </c>
      <c r="C7" s="61" t="inlineStr">
        <is>
          <t>Control (Multi-lane)</t>
        </is>
      </c>
      <c r="D7" s="68" t="n">
        <v>18</v>
      </c>
      <c r="E7" s="69" t="n">
        <v>0.1636364</v>
      </c>
      <c r="F7" s="68" t="n">
        <v>53</v>
      </c>
      <c r="G7" s="68" t="n">
        <v>16</v>
      </c>
      <c r="H7" s="68" t="n">
        <v>2</v>
      </c>
      <c r="I7" s="68" t="n">
        <v>120</v>
      </c>
      <c r="J7" s="70" t="n">
        <v>2</v>
      </c>
      <c r="K7" s="68" t="n">
        <v>148</v>
      </c>
      <c r="L7" s="70" t="n">
        <v>2.28</v>
      </c>
      <c r="M7" s="68" t="n">
        <v>960</v>
      </c>
      <c r="N7" s="70" t="n">
        <v>16</v>
      </c>
      <c r="O7" s="68" t="n">
        <v>19</v>
      </c>
      <c r="P7" s="69" t="n">
        <v>0.83333333</v>
      </c>
      <c r="Q7" s="68" t="n">
        <v>78</v>
      </c>
      <c r="R7" s="68" t="n">
        <v>13</v>
      </c>
      <c r="S7" s="68" t="n">
        <v>1</v>
      </c>
      <c r="T7" s="69" t="n">
        <v>0.01282051</v>
      </c>
      <c r="U7" s="68" t="n">
        <v>12</v>
      </c>
      <c r="V7" s="69" t="n">
        <v>0.1538462</v>
      </c>
      <c r="W7" s="68" t="n">
        <v>2</v>
      </c>
    </row>
    <row r="8" ht="18.75" customHeight="1" s="55">
      <c r="A8" s="62" t="inlineStr">
        <is>
          <t>DI834</t>
        </is>
      </c>
      <c r="B8" s="71" t="n">
        <v>57</v>
      </c>
      <c r="C8" s="62" t="inlineStr">
        <is>
          <t>Control (Multi-lane)</t>
        </is>
      </c>
      <c r="D8" s="71" t="n">
        <v>14</v>
      </c>
      <c r="E8" s="72" t="n">
        <v>0.245614</v>
      </c>
      <c r="F8" s="71" t="n">
        <v>9</v>
      </c>
      <c r="G8" s="71" t="n">
        <v>3</v>
      </c>
      <c r="H8" s="71" t="n">
        <v>0</v>
      </c>
      <c r="I8" s="71" t="n">
        <v>420</v>
      </c>
      <c r="J8" s="73" t="n">
        <v>7</v>
      </c>
      <c r="K8" s="71" t="n">
        <v>252</v>
      </c>
      <c r="L8" s="73" t="n">
        <v>4.12</v>
      </c>
      <c r="M8" s="71" t="n">
        <v>720</v>
      </c>
      <c r="N8" s="73" t="n">
        <v>12</v>
      </c>
      <c r="O8" s="71" t="n">
        <v>23</v>
      </c>
      <c r="P8" s="72" t="n">
        <v>0.6857142899999999</v>
      </c>
      <c r="Q8" s="71" t="n">
        <v>35</v>
      </c>
      <c r="R8" s="71" t="n">
        <v>11</v>
      </c>
      <c r="S8" s="71" t="n">
        <v>2</v>
      </c>
      <c r="T8" s="72" t="n">
        <v>0.05714286</v>
      </c>
      <c r="U8" s="71" t="n">
        <v>9</v>
      </c>
      <c r="V8" s="72" t="n">
        <v>0.2571429</v>
      </c>
      <c r="W8" s="71" t="n">
        <v>0</v>
      </c>
    </row>
    <row r="9" ht="18.75" customHeight="1" s="55">
      <c r="A9" s="61" t="inlineStr">
        <is>
          <t>DI835</t>
        </is>
      </c>
      <c r="B9" s="68" t="n">
        <v>73</v>
      </c>
      <c r="C9" s="61" t="inlineStr">
        <is>
          <t>Control (Multi-lane)</t>
        </is>
      </c>
      <c r="D9" s="68" t="n">
        <v>19</v>
      </c>
      <c r="E9" s="69" t="n">
        <v>0.260274</v>
      </c>
      <c r="F9" s="68" t="n">
        <v>43</v>
      </c>
      <c r="G9" s="68" t="n">
        <v>10</v>
      </c>
      <c r="H9" s="68" t="n">
        <v>0</v>
      </c>
      <c r="I9" s="68" t="n">
        <v>360</v>
      </c>
      <c r="J9" s="70" t="n">
        <v>6</v>
      </c>
      <c r="K9" s="68" t="n">
        <v>120</v>
      </c>
      <c r="L9" s="70" t="n">
        <v>2</v>
      </c>
      <c r="M9" s="68" t="n">
        <v>600</v>
      </c>
      <c r="N9" s="70" t="n">
        <v>10</v>
      </c>
      <c r="O9" s="68" t="n">
        <v>18</v>
      </c>
      <c r="P9" s="69" t="n">
        <v>0.8852459</v>
      </c>
      <c r="Q9" s="68" t="n">
        <v>61</v>
      </c>
      <c r="R9" s="68" t="n">
        <v>7</v>
      </c>
      <c r="S9" s="68" t="n">
        <v>4</v>
      </c>
      <c r="T9" s="69" t="n">
        <v>0.06557377</v>
      </c>
      <c r="U9" s="68" t="n">
        <v>3</v>
      </c>
      <c r="V9" s="69" t="n">
        <v>0.04918033</v>
      </c>
      <c r="W9" s="68" t="n">
        <v>0</v>
      </c>
    </row>
    <row r="10" ht="18.75" customHeight="1" s="55">
      <c r="A10" s="62" t="inlineStr">
        <is>
          <t>DI836</t>
        </is>
      </c>
      <c r="B10" s="71" t="n">
        <v>160</v>
      </c>
      <c r="C10" s="62" t="inlineStr">
        <is>
          <t>Control (Multi-lane)</t>
        </is>
      </c>
      <c r="D10" s="71" t="n">
        <v>15</v>
      </c>
      <c r="E10" s="72" t="n">
        <v>0.09375</v>
      </c>
      <c r="F10" s="71" t="n">
        <v>70</v>
      </c>
      <c r="G10" s="71" t="n">
        <v>7</v>
      </c>
      <c r="H10" s="71" t="n">
        <v>0</v>
      </c>
      <c r="I10" s="71" t="n">
        <v>45</v>
      </c>
      <c r="J10" s="73" t="n">
        <v>0.75</v>
      </c>
      <c r="K10" s="71" t="n">
        <v>195</v>
      </c>
      <c r="L10" s="73" t="n">
        <v>3.15</v>
      </c>
      <c r="M10" s="71" t="n">
        <v>780</v>
      </c>
      <c r="N10" s="73" t="n">
        <v>13</v>
      </c>
      <c r="O10" s="71" t="n">
        <v>17</v>
      </c>
      <c r="P10" s="72" t="n">
        <v>0.84146341</v>
      </c>
      <c r="Q10" s="71" t="n">
        <v>82</v>
      </c>
      <c r="R10" s="71" t="n">
        <v>13</v>
      </c>
      <c r="S10" s="71" t="n">
        <v>4</v>
      </c>
      <c r="T10" s="72" t="n">
        <v>0.04878049</v>
      </c>
      <c r="U10" s="71" t="n">
        <v>9</v>
      </c>
      <c r="V10" s="72" t="n">
        <v>0.1097561</v>
      </c>
      <c r="W10" s="71" t="n">
        <v>0</v>
      </c>
    </row>
    <row r="11" ht="18.75" customHeight="1" s="55">
      <c r="A11" s="61" t="inlineStr">
        <is>
          <t>DI837</t>
        </is>
      </c>
      <c r="B11" s="68" t="n">
        <v>79</v>
      </c>
      <c r="C11" s="61" t="inlineStr">
        <is>
          <t>Control (Multi-lane)</t>
        </is>
      </c>
      <c r="D11" s="68" t="n">
        <v>12</v>
      </c>
      <c r="E11" s="69" t="n">
        <v>0.1518987</v>
      </c>
      <c r="F11" s="68" t="n">
        <v>57</v>
      </c>
      <c r="G11" s="68" t="n">
        <v>17</v>
      </c>
      <c r="H11" s="68" t="n">
        <v>1</v>
      </c>
      <c r="I11" s="68" t="n">
        <v>60</v>
      </c>
      <c r="J11" s="70" t="n">
        <v>1</v>
      </c>
      <c r="K11" s="68" t="n">
        <v>360</v>
      </c>
      <c r="L11" s="70" t="n">
        <v>6</v>
      </c>
      <c r="M11" s="68" t="n">
        <v>660</v>
      </c>
      <c r="N11" s="70" t="n">
        <v>11</v>
      </c>
      <c r="O11" s="68" t="n">
        <v>18</v>
      </c>
      <c r="P11" s="69" t="n">
        <v>0.66666667</v>
      </c>
      <c r="Q11" s="68" t="n">
        <v>60</v>
      </c>
      <c r="R11" s="68" t="n">
        <v>20</v>
      </c>
      <c r="S11" s="68" t="n">
        <v>2</v>
      </c>
      <c r="T11" s="69" t="n">
        <v>0.03333333</v>
      </c>
      <c r="U11" s="68" t="n">
        <v>18</v>
      </c>
      <c r="V11" s="69" t="n">
        <v>0.3</v>
      </c>
      <c r="W11" s="68" t="n">
        <v>1</v>
      </c>
    </row>
    <row r="12" ht="18.75" customHeight="1" s="55">
      <c r="A12" s="62" t="inlineStr">
        <is>
          <t>DI841</t>
        </is>
      </c>
      <c r="B12" s="71" t="n">
        <v>76</v>
      </c>
      <c r="C12" s="62" t="inlineStr">
        <is>
          <t>Control (Multi-lane)</t>
        </is>
      </c>
      <c r="D12" s="71" t="n">
        <v>12</v>
      </c>
      <c r="E12" s="72" t="n">
        <v>0.1578947</v>
      </c>
      <c r="F12" s="71" t="n">
        <v>35</v>
      </c>
      <c r="G12" s="71" t="n">
        <v>3</v>
      </c>
      <c r="H12" s="71" t="n">
        <v>0</v>
      </c>
      <c r="I12" s="71" t="n">
        <v>150</v>
      </c>
      <c r="J12" s="73" t="n">
        <v>2.5</v>
      </c>
      <c r="K12" s="71" t="n">
        <v>180</v>
      </c>
      <c r="L12" s="73" t="n">
        <v>3</v>
      </c>
      <c r="M12" s="71" t="n">
        <v>540</v>
      </c>
      <c r="N12" s="73" t="n">
        <v>9</v>
      </c>
      <c r="O12" s="71" t="n">
        <v>15</v>
      </c>
      <c r="P12" s="72" t="n">
        <v>0.89473684</v>
      </c>
      <c r="Q12" s="71" t="n">
        <v>57</v>
      </c>
      <c r="R12" s="71" t="n">
        <v>6</v>
      </c>
      <c r="S12" s="71" t="n">
        <v>0</v>
      </c>
      <c r="T12" s="72" t="n">
        <v>0</v>
      </c>
      <c r="U12" s="71" t="n">
        <v>6</v>
      </c>
      <c r="V12" s="72" t="n">
        <v>0.1052632</v>
      </c>
      <c r="W12" s="71" t="n">
        <v>0</v>
      </c>
    </row>
    <row r="13" ht="18.75" customHeight="1" s="55">
      <c r="A13" s="61" t="inlineStr">
        <is>
          <t>DI838</t>
        </is>
      </c>
      <c r="B13" s="68" t="n">
        <v>68</v>
      </c>
      <c r="C13" s="61" t="inlineStr">
        <is>
          <t>Control (Multi-lane)</t>
        </is>
      </c>
      <c r="D13" s="68" t="n">
        <v>12</v>
      </c>
      <c r="E13" s="69" t="n">
        <v>0.1764706</v>
      </c>
      <c r="F13" s="68" t="n">
        <v>26</v>
      </c>
      <c r="G13" s="68" t="n">
        <v>6</v>
      </c>
      <c r="H13" s="68" t="n">
        <v>0</v>
      </c>
      <c r="I13" s="68" t="n">
        <v>660</v>
      </c>
      <c r="J13" s="70" t="n">
        <v>11</v>
      </c>
      <c r="K13" s="68" t="n">
        <v>660</v>
      </c>
      <c r="L13" s="70" t="n">
        <v>11</v>
      </c>
      <c r="M13" s="68" t="n">
        <v>900</v>
      </c>
      <c r="N13" s="70" t="n">
        <v>15</v>
      </c>
      <c r="O13" s="68" t="n">
        <v>37</v>
      </c>
      <c r="P13" s="69" t="n">
        <v>0.72093023</v>
      </c>
      <c r="Q13" s="68" t="n">
        <v>43</v>
      </c>
      <c r="R13" s="68" t="n">
        <v>12</v>
      </c>
      <c r="S13" s="68" t="n">
        <v>5</v>
      </c>
      <c r="T13" s="69" t="n">
        <v>0.1162791</v>
      </c>
      <c r="U13" s="68" t="n">
        <v>7</v>
      </c>
      <c r="V13" s="69" t="n">
        <v>0.1627907</v>
      </c>
      <c r="W13" s="68" t="n">
        <v>0</v>
      </c>
    </row>
    <row r="14" ht="18.75" customHeight="1" s="55">
      <c r="A14" s="62" t="inlineStr">
        <is>
          <t>DI845</t>
        </is>
      </c>
      <c r="B14" s="71" t="n">
        <v>56</v>
      </c>
      <c r="C14" s="62" t="inlineStr">
        <is>
          <t>Control (Multi-lane)</t>
        </is>
      </c>
      <c r="D14" s="71" t="n">
        <v>14</v>
      </c>
      <c r="E14" s="72" t="n">
        <v>0.25</v>
      </c>
      <c r="F14" s="71" t="n">
        <v>24</v>
      </c>
      <c r="G14" s="71" t="n">
        <v>9</v>
      </c>
      <c r="H14" s="71" t="n">
        <v>0</v>
      </c>
      <c r="I14" s="71" t="n">
        <v>480</v>
      </c>
      <c r="J14" s="73" t="n">
        <v>8</v>
      </c>
      <c r="K14" s="71" t="n">
        <v>360</v>
      </c>
      <c r="L14" s="73" t="n">
        <v>6</v>
      </c>
      <c r="M14" s="71" t="n">
        <v>1080</v>
      </c>
      <c r="N14" s="73" t="n">
        <v>18</v>
      </c>
      <c r="O14" s="71" t="n">
        <v>32</v>
      </c>
      <c r="P14" s="72" t="n">
        <v>0.93333333</v>
      </c>
      <c r="Q14" s="71" t="n">
        <v>30</v>
      </c>
      <c r="R14" s="71" t="n">
        <v>2</v>
      </c>
      <c r="S14" s="71" t="n">
        <v>0</v>
      </c>
      <c r="T14" s="72" t="n">
        <v>0</v>
      </c>
      <c r="U14" s="71" t="n">
        <v>2</v>
      </c>
      <c r="V14" s="72" t="n">
        <v>0.06666667</v>
      </c>
      <c r="W14" s="71" t="n">
        <v>0</v>
      </c>
    </row>
    <row r="15" ht="18.75" customHeight="1" s="55">
      <c r="A15" s="61" t="inlineStr">
        <is>
          <t>DI846</t>
        </is>
      </c>
      <c r="B15" s="68" t="n">
        <v>130</v>
      </c>
      <c r="C15" s="61" t="inlineStr">
        <is>
          <t>Control (Multi-lane)</t>
        </is>
      </c>
      <c r="D15" s="68" t="n">
        <v>12</v>
      </c>
      <c r="E15" s="69" t="n">
        <v>0.09230769</v>
      </c>
      <c r="F15" s="68" t="n">
        <v>39</v>
      </c>
      <c r="G15" s="68" t="n">
        <v>6</v>
      </c>
      <c r="H15" s="68" t="n">
        <v>0</v>
      </c>
      <c r="I15" s="68" t="n">
        <v>300</v>
      </c>
      <c r="J15" s="70" t="n">
        <v>5</v>
      </c>
      <c r="K15" s="68" t="n">
        <v>360</v>
      </c>
      <c r="L15" s="70" t="n">
        <v>6</v>
      </c>
      <c r="M15" s="68" t="n">
        <v>1560</v>
      </c>
      <c r="N15" s="70" t="n">
        <v>26</v>
      </c>
      <c r="O15" s="68" t="n">
        <v>37</v>
      </c>
      <c r="P15" s="69" t="n">
        <v>0.91139241</v>
      </c>
      <c r="Q15" s="68" t="n">
        <v>79</v>
      </c>
      <c r="R15" s="68" t="n">
        <v>7</v>
      </c>
      <c r="S15" s="68" t="n">
        <v>1</v>
      </c>
      <c r="T15" s="69" t="n">
        <v>0.01265823</v>
      </c>
      <c r="U15" s="68" t="n">
        <v>6</v>
      </c>
      <c r="V15" s="69" t="n">
        <v>0.07594937</v>
      </c>
      <c r="W15" s="68" t="n">
        <v>0</v>
      </c>
    </row>
    <row r="16" ht="18.75" customHeight="1" s="55">
      <c r="A16" s="62" t="inlineStr">
        <is>
          <t>DI849</t>
        </is>
      </c>
      <c r="B16" s="71" t="n">
        <v>92</v>
      </c>
      <c r="C16" s="62" t="inlineStr">
        <is>
          <t>Control (Multi-lane)</t>
        </is>
      </c>
      <c r="D16" s="71" t="n">
        <v>17</v>
      </c>
      <c r="E16" s="72" t="n">
        <v>0.1847826</v>
      </c>
      <c r="F16" s="71" t="n">
        <v>34</v>
      </c>
      <c r="G16" s="71" t="n">
        <v>4</v>
      </c>
      <c r="H16" s="71" t="n">
        <v>0</v>
      </c>
      <c r="I16" s="71" t="n">
        <v>360</v>
      </c>
      <c r="J16" s="73" t="n">
        <v>6</v>
      </c>
      <c r="K16" s="71" t="n">
        <v>540</v>
      </c>
      <c r="L16" s="73" t="n">
        <v>9</v>
      </c>
      <c r="M16" s="71" t="n">
        <v>1020</v>
      </c>
      <c r="N16" s="73" t="n">
        <v>17</v>
      </c>
      <c r="O16" s="71" t="n">
        <v>32</v>
      </c>
      <c r="P16" s="72" t="n">
        <v>0.90140845</v>
      </c>
      <c r="Q16" s="71" t="n">
        <v>71</v>
      </c>
      <c r="R16" s="71" t="n">
        <v>7</v>
      </c>
      <c r="S16" s="71" t="n">
        <v>0</v>
      </c>
      <c r="T16" s="72" t="n">
        <v>0</v>
      </c>
      <c r="U16" s="71" t="n">
        <v>7</v>
      </c>
      <c r="V16" s="72" t="n">
        <v>0.09859155</v>
      </c>
      <c r="W16" s="71" t="n">
        <v>0</v>
      </c>
    </row>
    <row r="17" ht="18.75" customHeight="1" s="55">
      <c r="A17" s="61" t="inlineStr">
        <is>
          <t>DI831</t>
        </is>
      </c>
      <c r="B17" s="68" t="n">
        <v>54</v>
      </c>
      <c r="C17" s="61" t="inlineStr">
        <is>
          <t>Manipulation (One-lane)</t>
        </is>
      </c>
      <c r="D17" s="68" t="n">
        <v>10</v>
      </c>
      <c r="E17" s="69" t="n">
        <v>0.1851852</v>
      </c>
      <c r="F17" s="68" t="n">
        <v>38</v>
      </c>
      <c r="G17" s="68" t="n">
        <v>14</v>
      </c>
      <c r="H17" s="68" t="n">
        <v>1</v>
      </c>
      <c r="I17" s="68" t="n">
        <v>120</v>
      </c>
      <c r="J17" s="70" t="n">
        <v>2</v>
      </c>
      <c r="K17" s="68" t="n">
        <v>1500</v>
      </c>
      <c r="L17" s="70" t="n">
        <v>25</v>
      </c>
      <c r="M17" s="68" t="n">
        <v>1440</v>
      </c>
      <c r="N17" s="70" t="n">
        <v>24</v>
      </c>
      <c r="O17" s="68" t="n">
        <v>51</v>
      </c>
      <c r="P17" s="69" t="n">
        <v>0.59375</v>
      </c>
      <c r="Q17" s="68" t="n">
        <v>32</v>
      </c>
      <c r="R17" s="68" t="n">
        <v>13</v>
      </c>
      <c r="S17" s="68" t="n">
        <v>4</v>
      </c>
      <c r="T17" s="69" t="n">
        <v>0.125</v>
      </c>
      <c r="U17" s="68" t="n">
        <v>9</v>
      </c>
      <c r="V17" s="69" t="n">
        <v>0.28125</v>
      </c>
      <c r="W17" s="68" t="n">
        <v>1</v>
      </c>
    </row>
    <row r="18" ht="18.75" customHeight="1" s="55">
      <c r="A18" s="62" t="inlineStr">
        <is>
          <t>DI832</t>
        </is>
      </c>
      <c r="B18" s="71" t="n">
        <v>90</v>
      </c>
      <c r="C18" s="62" t="inlineStr">
        <is>
          <t>Manipulation (One-lane)</t>
        </is>
      </c>
      <c r="D18" s="71" t="n">
        <v>20</v>
      </c>
      <c r="E18" s="72" t="n">
        <v>0.2222222</v>
      </c>
      <c r="F18" s="71" t="n">
        <v>59</v>
      </c>
      <c r="G18" s="71" t="n">
        <v>34</v>
      </c>
      <c r="H18" s="71" t="n">
        <v>4</v>
      </c>
      <c r="I18" s="71" t="n">
        <v>20</v>
      </c>
      <c r="J18" s="73" t="n">
        <v>0.33</v>
      </c>
      <c r="K18" s="71" t="n">
        <v>315</v>
      </c>
      <c r="L18" s="73" t="n">
        <v>5.15</v>
      </c>
      <c r="M18" s="71" t="n">
        <v>1020</v>
      </c>
      <c r="N18" s="73" t="n">
        <v>17</v>
      </c>
      <c r="O18" s="71" t="n">
        <v>22</v>
      </c>
      <c r="P18" s="72" t="n">
        <v>0.47761194</v>
      </c>
      <c r="Q18" s="71" t="n">
        <v>67</v>
      </c>
      <c r="R18" s="71" t="n">
        <v>35</v>
      </c>
      <c r="S18" s="71" t="n">
        <v>10</v>
      </c>
      <c r="T18" s="72" t="n">
        <v>0.1492537</v>
      </c>
      <c r="U18" s="71" t="n">
        <v>25</v>
      </c>
      <c r="V18" s="72" t="n">
        <v>0.3731343</v>
      </c>
      <c r="W18" s="71" t="n">
        <v>4</v>
      </c>
    </row>
    <row r="19" ht="18.75" customHeight="1" s="55">
      <c r="A19" s="61" t="inlineStr">
        <is>
          <t>DI833</t>
        </is>
      </c>
      <c r="B19" s="68" t="n">
        <v>110</v>
      </c>
      <c r="C19" s="61" t="inlineStr">
        <is>
          <t>Manipulation (One-lane)</t>
        </is>
      </c>
      <c r="D19" s="68" t="n">
        <v>16</v>
      </c>
      <c r="E19" s="69" t="n">
        <v>0.1454545</v>
      </c>
      <c r="F19" s="68" t="n">
        <v>83</v>
      </c>
      <c r="G19" s="68" t="n">
        <v>45</v>
      </c>
      <c r="H19" s="68" t="n">
        <v>11</v>
      </c>
      <c r="I19" s="68" t="n">
        <v>180</v>
      </c>
      <c r="J19" s="70" t="n">
        <v>3</v>
      </c>
      <c r="K19" s="68" t="n">
        <v>321</v>
      </c>
      <c r="L19" s="70" t="n">
        <v>5.21</v>
      </c>
      <c r="M19" s="68" t="n">
        <v>1740</v>
      </c>
      <c r="N19" s="70" t="n">
        <v>29</v>
      </c>
      <c r="O19" s="68" t="n">
        <v>37</v>
      </c>
      <c r="P19" s="69" t="n">
        <v>0.67164179</v>
      </c>
      <c r="Q19" s="68" t="n">
        <v>67</v>
      </c>
      <c r="R19" s="68" t="n">
        <v>22</v>
      </c>
      <c r="S19" s="68" t="n">
        <v>1</v>
      </c>
      <c r="T19" s="69" t="n">
        <v>0.01492537</v>
      </c>
      <c r="U19" s="68" t="n">
        <v>21</v>
      </c>
      <c r="V19" s="69" t="n">
        <v>0.3134328</v>
      </c>
      <c r="W19" s="68" t="n">
        <v>11</v>
      </c>
    </row>
    <row r="20" ht="18.75" customHeight="1" s="55">
      <c r="A20" s="62" t="inlineStr">
        <is>
          <t>DI834</t>
        </is>
      </c>
      <c r="B20" s="71" t="n">
        <v>57</v>
      </c>
      <c r="C20" s="62" t="inlineStr">
        <is>
          <t>Manipulation (One-lane)</t>
        </is>
      </c>
      <c r="D20" s="71" t="n">
        <v>18</v>
      </c>
      <c r="E20" s="72" t="n">
        <v>0.3157895</v>
      </c>
      <c r="F20" s="71" t="n">
        <v>25</v>
      </c>
      <c r="G20" s="71" t="n">
        <v>15</v>
      </c>
      <c r="H20" s="71" t="n">
        <v>4</v>
      </c>
      <c r="I20" s="71" t="n">
        <v>420</v>
      </c>
      <c r="J20" s="73" t="n">
        <v>7</v>
      </c>
      <c r="K20" s="71" t="n">
        <v>293</v>
      </c>
      <c r="L20" s="73" t="n">
        <v>4.53</v>
      </c>
      <c r="M20" s="71" t="n">
        <v>840</v>
      </c>
      <c r="N20" s="73" t="n">
        <v>14</v>
      </c>
      <c r="O20" s="71" t="n">
        <v>26</v>
      </c>
      <c r="P20" s="72" t="n">
        <v>0.62903226</v>
      </c>
      <c r="Q20" s="71" t="n">
        <v>62</v>
      </c>
      <c r="R20" s="71" t="n">
        <v>23</v>
      </c>
      <c r="S20" s="71" t="n">
        <v>10</v>
      </c>
      <c r="T20" s="72" t="n">
        <v>0.1612903</v>
      </c>
      <c r="U20" s="71" t="n">
        <v>13</v>
      </c>
      <c r="V20" s="72" t="n">
        <v>0.2096774</v>
      </c>
      <c r="W20" s="71" t="n">
        <v>4</v>
      </c>
    </row>
    <row r="21" ht="18.75" customHeight="1" s="55">
      <c r="A21" s="61" t="inlineStr">
        <is>
          <t>DI835</t>
        </is>
      </c>
      <c r="B21" s="68" t="n">
        <v>73</v>
      </c>
      <c r="C21" s="61" t="inlineStr">
        <is>
          <t>Manipulation (One-lane)</t>
        </is>
      </c>
      <c r="D21" s="68" t="n">
        <v>22</v>
      </c>
      <c r="E21" s="69" t="n">
        <v>0.3013699</v>
      </c>
      <c r="F21" s="68" t="n">
        <v>26</v>
      </c>
      <c r="G21" s="68" t="n">
        <v>17</v>
      </c>
      <c r="H21" s="68" t="n">
        <v>4</v>
      </c>
      <c r="I21" s="68" t="n">
        <v>73</v>
      </c>
      <c r="J21" s="70" t="n">
        <v>1.21</v>
      </c>
      <c r="K21" s="68" t="n">
        <v>420</v>
      </c>
      <c r="L21" s="70" t="n">
        <v>7</v>
      </c>
      <c r="M21" s="68" t="n">
        <v>720</v>
      </c>
      <c r="N21" s="70" t="n">
        <v>12</v>
      </c>
      <c r="O21" s="68" t="n">
        <v>20</v>
      </c>
      <c r="P21" s="69" t="n">
        <v>0.64285714</v>
      </c>
      <c r="Q21" s="68" t="n">
        <v>42</v>
      </c>
      <c r="R21" s="68" t="n">
        <v>15</v>
      </c>
      <c r="S21" s="68" t="n">
        <v>4</v>
      </c>
      <c r="T21" s="69" t="n">
        <v>0.09523810000000001</v>
      </c>
      <c r="U21" s="68" t="n">
        <v>11</v>
      </c>
      <c r="V21" s="69" t="n">
        <v>0.2619048</v>
      </c>
      <c r="W21" s="68" t="n">
        <v>4</v>
      </c>
    </row>
    <row r="22" ht="18.75" customHeight="1" s="55">
      <c r="A22" s="62" t="inlineStr">
        <is>
          <t>DI836</t>
        </is>
      </c>
      <c r="B22" s="71" t="n">
        <v>160</v>
      </c>
      <c r="C22" s="62" t="inlineStr">
        <is>
          <t>Manipulation (One-lane)</t>
        </is>
      </c>
      <c r="D22" s="71" t="n">
        <v>16</v>
      </c>
      <c r="E22" s="72" t="n">
        <v>0.1</v>
      </c>
      <c r="F22" s="71" t="n">
        <v>84</v>
      </c>
      <c r="G22" s="71" t="n">
        <v>24</v>
      </c>
      <c r="H22" s="71" t="n">
        <v>10</v>
      </c>
      <c r="I22" s="71" t="n">
        <v>180</v>
      </c>
      <c r="J22" s="73" t="n">
        <v>3</v>
      </c>
      <c r="K22" s="71" t="n">
        <v>360</v>
      </c>
      <c r="L22" s="73" t="n">
        <v>6</v>
      </c>
      <c r="M22" s="71" t="n">
        <v>1080</v>
      </c>
      <c r="N22" s="73" t="n">
        <v>18</v>
      </c>
      <c r="O22" s="71" t="n">
        <v>27</v>
      </c>
      <c r="P22" s="72" t="n">
        <v>0.7439024400000001</v>
      </c>
      <c r="Q22" s="71" t="n">
        <v>82</v>
      </c>
      <c r="R22" s="71" t="n">
        <v>21</v>
      </c>
      <c r="S22" s="71" t="n">
        <v>6</v>
      </c>
      <c r="T22" s="72" t="n">
        <v>0.07317073</v>
      </c>
      <c r="U22" s="71" t="n">
        <v>15</v>
      </c>
      <c r="V22" s="72" t="n">
        <v>0.1829268</v>
      </c>
      <c r="W22" s="71" t="n">
        <v>10</v>
      </c>
    </row>
    <row r="23" ht="18.75" customHeight="1" s="55">
      <c r="A23" s="61" t="inlineStr">
        <is>
          <t>DI837</t>
        </is>
      </c>
      <c r="B23" s="68" t="n">
        <v>79</v>
      </c>
      <c r="C23" s="61" t="inlineStr">
        <is>
          <t>Manipulation (One-lane)</t>
        </is>
      </c>
      <c r="D23" s="68" t="n">
        <v>17</v>
      </c>
      <c r="E23" s="69" t="n">
        <v>0.2151899</v>
      </c>
      <c r="F23" s="68" t="n">
        <v>31</v>
      </c>
      <c r="G23" s="68" t="n">
        <v>22</v>
      </c>
      <c r="H23" s="68" t="n">
        <v>4</v>
      </c>
      <c r="I23" s="68" t="n">
        <v>30</v>
      </c>
      <c r="J23" s="70" t="n">
        <v>0.5</v>
      </c>
      <c r="K23" s="68" t="n">
        <v>270</v>
      </c>
      <c r="L23" s="70" t="n">
        <v>4.3</v>
      </c>
      <c r="M23" s="68" t="n">
        <v>600</v>
      </c>
      <c r="N23" s="70" t="n">
        <v>10</v>
      </c>
      <c r="O23" s="68" t="n">
        <v>15</v>
      </c>
      <c r="P23" s="69" t="n">
        <v>0.36842105</v>
      </c>
      <c r="Q23" s="68" t="n">
        <v>38</v>
      </c>
      <c r="R23" s="68" t="n">
        <v>24</v>
      </c>
      <c r="S23" s="68" t="n">
        <v>3</v>
      </c>
      <c r="T23" s="69" t="n">
        <v>0.07894737</v>
      </c>
      <c r="U23" s="68" t="n">
        <v>21</v>
      </c>
      <c r="V23" s="69" t="n">
        <v>0.5526316</v>
      </c>
      <c r="W23" s="68" t="n">
        <v>4</v>
      </c>
    </row>
    <row r="24" ht="18.75" customHeight="1" s="55">
      <c r="A24" s="62" t="inlineStr">
        <is>
          <t>DI841</t>
        </is>
      </c>
      <c r="B24" s="71" t="n">
        <v>76</v>
      </c>
      <c r="C24" s="62" t="inlineStr">
        <is>
          <t>Manipulation (One-lane)</t>
        </is>
      </c>
      <c r="D24" s="71" t="n">
        <v>15</v>
      </c>
      <c r="E24" s="72" t="n">
        <v>0.1973684</v>
      </c>
      <c r="F24" s="71" t="n">
        <v>46</v>
      </c>
      <c r="G24" s="71" t="n">
        <v>7</v>
      </c>
      <c r="H24" s="71" t="n">
        <v>1</v>
      </c>
      <c r="I24" s="71" t="n">
        <v>600</v>
      </c>
      <c r="J24" s="73" t="n">
        <v>10</v>
      </c>
      <c r="K24" s="71" t="n">
        <v>360</v>
      </c>
      <c r="L24" s="73" t="n">
        <v>6</v>
      </c>
      <c r="M24" s="71" t="n">
        <v>1500</v>
      </c>
      <c r="N24" s="73" t="n">
        <v>25</v>
      </c>
      <c r="O24" s="71" t="n">
        <v>41</v>
      </c>
      <c r="P24" s="72" t="n">
        <v>0.70175439</v>
      </c>
      <c r="Q24" s="71" t="n">
        <v>57</v>
      </c>
      <c r="R24" s="71" t="n">
        <v>17</v>
      </c>
      <c r="S24" s="71" t="n">
        <v>6</v>
      </c>
      <c r="T24" s="72" t="n">
        <v>0.1052632</v>
      </c>
      <c r="U24" s="71" t="n">
        <v>11</v>
      </c>
      <c r="V24" s="72" t="n">
        <v>0.1929825</v>
      </c>
      <c r="W24" s="71" t="n">
        <v>1</v>
      </c>
    </row>
    <row r="25" ht="18.75" customHeight="1" s="55">
      <c r="A25" s="61" t="inlineStr">
        <is>
          <t>DI838</t>
        </is>
      </c>
      <c r="B25" s="68" t="n">
        <v>68</v>
      </c>
      <c r="C25" s="61" t="inlineStr">
        <is>
          <t>Manipulation (One-lane)</t>
        </is>
      </c>
      <c r="D25" s="68" t="n">
        <v>9</v>
      </c>
      <c r="E25" s="69" t="n">
        <v>0.1323529</v>
      </c>
      <c r="F25" s="68" t="n">
        <v>55</v>
      </c>
      <c r="G25" s="68" t="n">
        <v>26</v>
      </c>
      <c r="H25" s="68" t="n">
        <v>4</v>
      </c>
      <c r="I25" s="68" t="n">
        <v>180</v>
      </c>
      <c r="J25" s="70" t="n">
        <v>3</v>
      </c>
      <c r="K25" s="68" t="n">
        <v>120</v>
      </c>
      <c r="L25" s="70" t="n">
        <v>2</v>
      </c>
      <c r="M25" s="68" t="n">
        <v>1380</v>
      </c>
      <c r="N25" s="70" t="n">
        <v>23</v>
      </c>
      <c r="O25" s="68" t="n">
        <v>28</v>
      </c>
      <c r="P25" s="69" t="n">
        <v>0.7878787900000001</v>
      </c>
      <c r="Q25" s="68" t="n">
        <v>66</v>
      </c>
      <c r="R25" s="68" t="n">
        <v>14</v>
      </c>
      <c r="S25" s="68" t="n">
        <v>3</v>
      </c>
      <c r="T25" s="69" t="n">
        <v>0.04545455</v>
      </c>
      <c r="U25" s="68" t="n">
        <v>11</v>
      </c>
      <c r="V25" s="69" t="n">
        <v>0.1666667</v>
      </c>
      <c r="W25" s="68" t="n">
        <v>4</v>
      </c>
    </row>
    <row r="26" ht="18.75" customHeight="1" s="55">
      <c r="A26" s="62" t="inlineStr">
        <is>
          <t>DI845</t>
        </is>
      </c>
      <c r="B26" s="71" t="n">
        <v>56</v>
      </c>
      <c r="C26" s="62" t="inlineStr">
        <is>
          <t>Manipulation (One-lane)</t>
        </is>
      </c>
      <c r="D26" s="71" t="n">
        <v>15</v>
      </c>
      <c r="E26" s="72" t="n">
        <v>0.2678571</v>
      </c>
      <c r="F26" s="71" t="n">
        <v>36</v>
      </c>
      <c r="G26" s="71" t="n">
        <v>22</v>
      </c>
      <c r="H26" s="71" t="n">
        <v>4</v>
      </c>
      <c r="I26" s="71" t="n">
        <v>120</v>
      </c>
      <c r="J26" s="73" t="n">
        <v>2</v>
      </c>
      <c r="K26" s="71" t="n">
        <v>180</v>
      </c>
      <c r="L26" s="73" t="n">
        <v>3</v>
      </c>
      <c r="M26" s="71" t="n">
        <v>840</v>
      </c>
      <c r="N26" s="73" t="n">
        <v>14</v>
      </c>
      <c r="O26" s="71" t="n">
        <v>19</v>
      </c>
      <c r="P26" s="72" t="n">
        <v>0.79411765</v>
      </c>
      <c r="Q26" s="71" t="n">
        <v>34</v>
      </c>
      <c r="R26" s="71" t="n">
        <v>7</v>
      </c>
      <c r="S26" s="71" t="n">
        <v>0</v>
      </c>
      <c r="T26" s="72" t="n">
        <v>0</v>
      </c>
      <c r="U26" s="71" t="n">
        <v>7</v>
      </c>
      <c r="V26" s="72" t="n">
        <v>0.2058824</v>
      </c>
      <c r="W26" s="71" t="n">
        <v>4</v>
      </c>
    </row>
    <row r="27" ht="18.75" customHeight="1" s="55">
      <c r="A27" s="61" t="inlineStr">
        <is>
          <t>DI846</t>
        </is>
      </c>
      <c r="B27" s="68" t="n">
        <v>130</v>
      </c>
      <c r="C27" s="61" t="inlineStr">
        <is>
          <t>Manipulation (One-lane)</t>
        </is>
      </c>
      <c r="D27" s="68" t="n">
        <v>20</v>
      </c>
      <c r="E27" s="69" t="n">
        <v>0.1538462</v>
      </c>
      <c r="F27" s="68" t="n">
        <v>93</v>
      </c>
      <c r="G27" s="68" t="n">
        <v>31</v>
      </c>
      <c r="H27" s="68" t="n">
        <v>5</v>
      </c>
      <c r="I27" s="68" t="n">
        <v>120</v>
      </c>
      <c r="J27" s="70" t="n">
        <v>2</v>
      </c>
      <c r="K27" s="68" t="n">
        <v>180</v>
      </c>
      <c r="L27" s="70" t="n">
        <v>3</v>
      </c>
      <c r="M27" s="68" t="n">
        <v>1680</v>
      </c>
      <c r="N27" s="70" t="n">
        <v>28</v>
      </c>
      <c r="O27" s="68" t="n">
        <v>33</v>
      </c>
      <c r="P27" s="69" t="n">
        <v>0.65671642</v>
      </c>
      <c r="Q27" s="68" t="n">
        <v>67</v>
      </c>
      <c r="R27" s="68" t="n">
        <v>23</v>
      </c>
      <c r="S27" s="68" t="n">
        <v>2</v>
      </c>
      <c r="T27" s="69" t="n">
        <v>0.02985075</v>
      </c>
      <c r="U27" s="68" t="n">
        <v>21</v>
      </c>
      <c r="V27" s="69" t="n">
        <v>0.3134328</v>
      </c>
      <c r="W27" s="68" t="n">
        <v>5</v>
      </c>
    </row>
    <row r="28" ht="18.75" customHeight="1" s="55">
      <c r="A28" s="62" t="inlineStr">
        <is>
          <t>DI849</t>
        </is>
      </c>
      <c r="B28" s="71" t="n">
        <v>92</v>
      </c>
      <c r="C28" s="62" t="inlineStr">
        <is>
          <t>Manipulation (One-lane)</t>
        </is>
      </c>
      <c r="D28" s="71" t="n">
        <v>21</v>
      </c>
      <c r="E28" s="72" t="n">
        <v>0.2282609</v>
      </c>
      <c r="F28" s="71" t="n">
        <v>58</v>
      </c>
      <c r="G28" s="71" t="n">
        <v>27</v>
      </c>
      <c r="H28" s="71" t="n">
        <v>4</v>
      </c>
      <c r="I28" s="71" t="n">
        <v>60</v>
      </c>
      <c r="J28" s="73" t="n">
        <v>1</v>
      </c>
      <c r="K28" s="71" t="n">
        <v>480</v>
      </c>
      <c r="L28" s="73" t="n">
        <v>8</v>
      </c>
      <c r="M28" s="71" t="n">
        <v>1020</v>
      </c>
      <c r="N28" s="73" t="n">
        <v>17</v>
      </c>
      <c r="O28" s="71" t="n">
        <v>26</v>
      </c>
      <c r="P28" s="72" t="n">
        <v>0.75</v>
      </c>
      <c r="Q28" s="71" t="n">
        <v>56</v>
      </c>
      <c r="R28" s="71" t="n">
        <v>14</v>
      </c>
      <c r="S28" s="71" t="n">
        <v>0</v>
      </c>
      <c r="T28" s="72" t="n">
        <v>0</v>
      </c>
      <c r="U28" s="71" t="n">
        <v>14</v>
      </c>
      <c r="V28" s="72" t="n">
        <v>0.25</v>
      </c>
      <c r="W28" s="71" t="n">
        <v>4</v>
      </c>
    </row>
    <row r="30" ht="19.5" customHeight="1" s="55">
      <c r="A30" s="74" t="inlineStr">
        <is>
          <t>Control Mean</t>
        </is>
      </c>
      <c r="B30" s="75">
        <f>AVERAGE(B5:B16)</f>
        <v/>
      </c>
      <c r="C30" s="76" t="inlineStr">
        <is>
          <t>--</t>
        </is>
      </c>
      <c r="D30" s="75">
        <f>AVERAGE(D5:D16)</f>
        <v/>
      </c>
      <c r="E30" s="77">
        <f>AVERAGE(E5:E16)</f>
        <v/>
      </c>
      <c r="F30" s="75">
        <f>AVERAGE(F5:F16)</f>
        <v/>
      </c>
      <c r="G30" s="75">
        <f>AVERAGE(G5:G16)</f>
        <v/>
      </c>
      <c r="H30" s="75">
        <f>AVERAGE(H5:H16)</f>
        <v/>
      </c>
      <c r="I30" s="75">
        <f>AVERAGE(I5:I16)</f>
        <v/>
      </c>
      <c r="J30" s="78">
        <f>AVERAGE(J5:J16)</f>
        <v/>
      </c>
      <c r="K30" s="75">
        <f>AVERAGE(K5:K16)</f>
        <v/>
      </c>
      <c r="L30" s="78">
        <f>AVERAGE(L5:L16)</f>
        <v/>
      </c>
      <c r="M30" s="75">
        <f>AVERAGE(M5:M16)</f>
        <v/>
      </c>
      <c r="N30" s="78">
        <f>AVERAGE(N5:N16)</f>
        <v/>
      </c>
      <c r="O30" s="75">
        <f>AVERAGE(O5:O16)</f>
        <v/>
      </c>
      <c r="P30" s="77">
        <f>AVERAGE(P5:P16)</f>
        <v/>
      </c>
      <c r="Q30" s="75">
        <f>AVERAGE(Q5:Q16)</f>
        <v/>
      </c>
      <c r="R30" s="75">
        <f>AVERAGE(R5:R16)</f>
        <v/>
      </c>
      <c r="S30" s="75">
        <f>AVERAGE(S5:S16)</f>
        <v/>
      </c>
      <c r="T30" s="77">
        <f>AVERAGE(T5:T16)</f>
        <v/>
      </c>
      <c r="U30" s="75">
        <f>AVERAGE(U5:U16)</f>
        <v/>
      </c>
      <c r="V30" s="77">
        <f>AVERAGE(V5:V16)</f>
        <v/>
      </c>
      <c r="W30" s="75">
        <f>AVERAGE(W5:W16)</f>
        <v/>
      </c>
    </row>
    <row r="31" ht="19.5" customHeight="1" s="55">
      <c r="A31" s="74" t="inlineStr">
        <is>
          <t>Control Std Dev</t>
        </is>
      </c>
      <c r="B31" s="78">
        <f>STDEV(B5:B16)</f>
        <v/>
      </c>
      <c r="C31" s="76" t="inlineStr">
        <is>
          <t>--</t>
        </is>
      </c>
      <c r="D31" s="78">
        <f>STDEV(D5:D16)</f>
        <v/>
      </c>
      <c r="E31" s="77">
        <f>STDEV(E5:E16)</f>
        <v/>
      </c>
      <c r="F31" s="78">
        <f>STDEV(F5:F16)</f>
        <v/>
      </c>
      <c r="G31" s="78">
        <f>STDEV(G5:G16)</f>
        <v/>
      </c>
      <c r="H31" s="78">
        <f>STDEV(H5:H16)</f>
        <v/>
      </c>
      <c r="I31" s="78">
        <f>STDEV(I5:I16)</f>
        <v/>
      </c>
      <c r="J31" s="78">
        <f>STDEV(J5:J16)</f>
        <v/>
      </c>
      <c r="K31" s="78">
        <f>STDEV(K5:K16)</f>
        <v/>
      </c>
      <c r="L31" s="78">
        <f>STDEV(L5:L16)</f>
        <v/>
      </c>
      <c r="M31" s="78">
        <f>STDEV(M5:M16)</f>
        <v/>
      </c>
      <c r="N31" s="78">
        <f>STDEV(N5:N16)</f>
        <v/>
      </c>
      <c r="O31" s="78">
        <f>STDEV(O5:O16)</f>
        <v/>
      </c>
      <c r="P31" s="77">
        <f>STDEV(P5:P16)</f>
        <v/>
      </c>
      <c r="Q31" s="78">
        <f>STDEV(Q5:Q16)</f>
        <v/>
      </c>
      <c r="R31" s="78">
        <f>STDEV(R5:R16)</f>
        <v/>
      </c>
      <c r="S31" s="78">
        <f>STDEV(S5:S16)</f>
        <v/>
      </c>
      <c r="T31" s="77">
        <f>STDEV(T5:T16)</f>
        <v/>
      </c>
      <c r="U31" s="78">
        <f>STDEV(U5:U16)</f>
        <v/>
      </c>
      <c r="V31" s="77">
        <f>STDEV(V5:V16)</f>
        <v/>
      </c>
      <c r="W31" s="78">
        <f>STDEV(W5:W16)</f>
        <v/>
      </c>
    </row>
    <row r="33" ht="19.5" customHeight="1" s="55">
      <c r="A33" s="74" t="inlineStr">
        <is>
          <t>One-lane Mean</t>
        </is>
      </c>
      <c r="B33" s="75">
        <f>AVERAGE(B17:B28)</f>
        <v/>
      </c>
      <c r="C33" s="76" t="inlineStr">
        <is>
          <t>--</t>
        </is>
      </c>
      <c r="D33" s="75">
        <f>AVERAGE(D17:D28)</f>
        <v/>
      </c>
      <c r="E33" s="77">
        <f>AVERAGE(E17:E28)</f>
        <v/>
      </c>
      <c r="F33" s="75">
        <f>AVERAGE(F17:F28)</f>
        <v/>
      </c>
      <c r="G33" s="75">
        <f>AVERAGE(G17:G28)</f>
        <v/>
      </c>
      <c r="H33" s="75">
        <f>AVERAGE(H17:H28)</f>
        <v/>
      </c>
      <c r="I33" s="75">
        <f>AVERAGE(I17:I28)</f>
        <v/>
      </c>
      <c r="J33" s="78">
        <f>AVERAGE(J17:J28)</f>
        <v/>
      </c>
      <c r="K33" s="75">
        <f>AVERAGE(K17:K28)</f>
        <v/>
      </c>
      <c r="L33" s="78">
        <f>AVERAGE(L17:L28)</f>
        <v/>
      </c>
      <c r="M33" s="75">
        <f>AVERAGE(M17:M28)</f>
        <v/>
      </c>
      <c r="N33" s="78">
        <f>AVERAGE(N17:N28)</f>
        <v/>
      </c>
      <c r="O33" s="75">
        <f>AVERAGE(O17:O28)</f>
        <v/>
      </c>
      <c r="P33" s="77">
        <f>AVERAGE(P17:P28)</f>
        <v/>
      </c>
      <c r="Q33" s="75">
        <f>AVERAGE(Q17:Q28)</f>
        <v/>
      </c>
      <c r="R33" s="75">
        <f>AVERAGE(R17:R28)</f>
        <v/>
      </c>
      <c r="S33" s="75">
        <f>AVERAGE(S17:S28)</f>
        <v/>
      </c>
      <c r="T33" s="77">
        <f>AVERAGE(T17:T28)</f>
        <v/>
      </c>
      <c r="U33" s="75">
        <f>AVERAGE(U17:U28)</f>
        <v/>
      </c>
      <c r="V33" s="77">
        <f>AVERAGE(V17:V28)</f>
        <v/>
      </c>
      <c r="W33" s="75">
        <f>AVERAGE(W17:W28)</f>
        <v/>
      </c>
    </row>
    <row r="34" ht="19.5" customHeight="1" s="55">
      <c r="A34" s="74" t="inlineStr">
        <is>
          <t>One-lane Std Dev</t>
        </is>
      </c>
      <c r="B34" s="78">
        <f>STDEV(B17:B28)</f>
        <v/>
      </c>
      <c r="C34" s="76" t="inlineStr">
        <is>
          <t>--</t>
        </is>
      </c>
      <c r="D34" s="78">
        <f>STDEV(D17:D28)</f>
        <v/>
      </c>
      <c r="E34" s="77">
        <f>STDEV(E17:E28)</f>
        <v/>
      </c>
      <c r="F34" s="78">
        <f>STDEV(F17:F28)</f>
        <v/>
      </c>
      <c r="G34" s="78">
        <f>STDEV(G17:G28)</f>
        <v/>
      </c>
      <c r="H34" s="78">
        <f>STDEV(H17:H28)</f>
        <v/>
      </c>
      <c r="I34" s="78">
        <f>STDEV(I17:I28)</f>
        <v/>
      </c>
      <c r="J34" s="78">
        <f>STDEV(J17:J28)</f>
        <v/>
      </c>
      <c r="K34" s="78">
        <f>STDEV(K17:K28)</f>
        <v/>
      </c>
      <c r="L34" s="78">
        <f>STDEV(L17:L28)</f>
        <v/>
      </c>
      <c r="M34" s="78">
        <f>STDEV(M17:M28)</f>
        <v/>
      </c>
      <c r="N34" s="78">
        <f>STDEV(N17:N28)</f>
        <v/>
      </c>
      <c r="O34" s="78">
        <f>STDEV(O17:O28)</f>
        <v/>
      </c>
      <c r="P34" s="77">
        <f>STDEV(P17:P28)</f>
        <v/>
      </c>
      <c r="Q34" s="78">
        <f>STDEV(Q17:Q28)</f>
        <v/>
      </c>
      <c r="R34" s="78">
        <f>STDEV(R17:R28)</f>
        <v/>
      </c>
      <c r="S34" s="78">
        <f>STDEV(S17:S28)</f>
        <v/>
      </c>
      <c r="T34" s="77">
        <f>STDEV(T17:T28)</f>
        <v/>
      </c>
      <c r="U34" s="78">
        <f>STDEV(U17:U28)</f>
        <v/>
      </c>
      <c r="V34" s="77">
        <f>STDEV(V17:V28)</f>
        <v/>
      </c>
      <c r="W34" s="78">
        <f>STDEV(W17:W28)</f>
        <v/>
      </c>
    </row>
  </sheetData>
  <mergeCells count="2">
    <mergeCell ref="A2:W2"/>
    <mergeCell ref="A1:W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2" customWidth="1" style="54" min="1" max="1"/>
    <col width="13" customWidth="1" style="54" min="2" max="2"/>
    <col width="15" customWidth="1" style="54" min="3" max="3"/>
    <col width="18" customWidth="1" style="54" min="4" max="4"/>
    <col width="35" customWidth="1" style="54" min="5" max="5"/>
    <col width="24" customWidth="1" style="54" min="6" max="6"/>
    <col width="22" customWidth="1" style="54" min="7" max="7"/>
    <col width="23" customWidth="1" style="54" min="8" max="8"/>
    <col width="22" customWidth="1" style="54" min="9" max="9"/>
    <col width="35" customWidth="1" style="54" min="10" max="10"/>
    <col width="38" customWidth="1" style="54" min="11" max="11"/>
    <col width="12" customWidth="1" style="54" min="12" max="12"/>
    <col width="40" customWidth="1" style="54" min="13" max="13"/>
    <col width="17" customWidth="1" style="54" min="14" max="14"/>
    <col width="18" customWidth="1" style="54" min="15" max="15"/>
    <col width="31" customWidth="1" style="54" min="16" max="16"/>
  </cols>
  <sheetData>
    <row r="1" ht="27.75" customHeight="1" s="55">
      <c r="A1" s="65" t="inlineStr">
        <is>
          <t>INDIVIDUAL TRAFFIC JAM EVENT LOG (N = 56 JAMS, ONE-LANE CONSTRICTION)</t>
        </is>
      </c>
    </row>
    <row r="2" ht="18" customHeight="1" s="55">
      <c r="A2" s="66" t="inlineStr">
        <is>
          <t>Complete kinematic records of all 56 empirical jam events in the 15 cm one-lane bottleneck (0.5 cm wide). Operational threshold: standstill &gt;= 4s.</t>
        </is>
      </c>
    </row>
    <row r="4" ht="27.75" customHeight="1" s="55">
      <c r="A4" s="67" t="inlineStr">
        <is>
          <t>Jam ID</t>
        </is>
      </c>
      <c r="B4" s="67" t="inlineStr">
        <is>
          <t>Colony ID</t>
        </is>
      </c>
      <c r="C4" s="67" t="inlineStr">
        <is>
          <t>Jam Event #</t>
        </is>
      </c>
      <c r="D4" s="67" t="inlineStr">
        <is>
          <t>Initiator Code</t>
        </is>
      </c>
      <c r="E4" s="67" t="inlineStr">
        <is>
          <t>Initiator Role Description</t>
        </is>
      </c>
      <c r="F4" s="67" t="inlineStr">
        <is>
          <t>Jam Start (hh:mm:ss)</t>
        </is>
      </c>
      <c r="G4" s="67" t="inlineStr">
        <is>
          <t>Jam End (hh:mm:ss)</t>
        </is>
      </c>
      <c r="H4" s="67" t="inlineStr">
        <is>
          <t>Duration (hh:mm:ss)</t>
        </is>
      </c>
      <c r="I4" s="67" t="inlineStr">
        <is>
          <t>Duration (seconds)</t>
        </is>
      </c>
      <c r="J4" s="67" t="inlineStr">
        <is>
          <t>Resolution Time (sec, Dur - 4s)</t>
        </is>
      </c>
      <c r="K4" s="67" t="inlineStr">
        <is>
          <t>Mass Orientation (&gt;=80% toward NN)</t>
        </is>
      </c>
      <c r="M4" s="79" t="inlineStr">
        <is>
          <t>JAM INITIATOR CASTE BREAKDOWN (CHI-SQUARE TEST: χ² = 17.82, P &lt; 0.01)</t>
        </is>
      </c>
    </row>
    <row r="5" ht="18.75" customHeight="1" s="55">
      <c r="A5" s="68" t="n">
        <v>1</v>
      </c>
      <c r="B5" s="80" t="inlineStr">
        <is>
          <t>DI831</t>
        </is>
      </c>
      <c r="C5" s="68" t="n">
        <v>1</v>
      </c>
      <c r="D5" s="80" t="inlineStr">
        <is>
          <t>LF</t>
        </is>
      </c>
      <c r="E5" s="61" t="inlineStr">
        <is>
          <t>Lost Follower</t>
        </is>
      </c>
      <c r="F5" s="80" t="inlineStr">
        <is>
          <t>07:05:45</t>
        </is>
      </c>
      <c r="G5" s="80" t="inlineStr">
        <is>
          <t>07:05:56</t>
        </is>
      </c>
      <c r="H5" s="80" t="inlineStr">
        <is>
          <t>00:00:11</t>
        </is>
      </c>
      <c r="I5" s="68" t="n">
        <v>11</v>
      </c>
      <c r="J5" s="68">
        <f>I5-4</f>
        <v/>
      </c>
      <c r="K5" s="80" t="inlineStr">
        <is>
          <t>Yes</t>
        </is>
      </c>
      <c r="M5" s="81" t="inlineStr">
        <is>
          <t>Ant Role Category</t>
        </is>
      </c>
      <c r="N5" s="81" t="inlineStr">
        <is>
          <t>Observed Jams</t>
        </is>
      </c>
      <c r="O5" s="81" t="inlineStr">
        <is>
          <t>Percentage (%)</t>
        </is>
      </c>
      <c r="P5" s="81" t="inlineStr">
        <is>
          <t>Theoretical Expectation</t>
        </is>
      </c>
    </row>
    <row r="6" ht="18.75" customHeight="1" s="55">
      <c r="A6" s="71" t="n">
        <v>2</v>
      </c>
      <c r="B6" s="82" t="inlineStr">
        <is>
          <t>DI832</t>
        </is>
      </c>
      <c r="C6" s="71" t="n">
        <v>1</v>
      </c>
      <c r="D6" s="82" t="inlineStr">
        <is>
          <t>BT</t>
        </is>
      </c>
      <c r="E6" s="62" t="inlineStr">
        <is>
          <t>Brood Transporter</t>
        </is>
      </c>
      <c r="F6" s="82" t="inlineStr">
        <is>
          <t>04:20:53</t>
        </is>
      </c>
      <c r="G6" s="82" t="inlineStr">
        <is>
          <t>04:21:37</t>
        </is>
      </c>
      <c r="H6" s="82" t="inlineStr">
        <is>
          <t>00:00:44</t>
        </is>
      </c>
      <c r="I6" s="71" t="n">
        <v>44</v>
      </c>
      <c r="J6" s="71">
        <f>I6-4</f>
        <v/>
      </c>
      <c r="K6" s="82" t="inlineStr">
        <is>
          <t>No</t>
        </is>
      </c>
      <c r="M6" s="63" t="inlineStr">
        <is>
          <t>Returning Leaders (RL)</t>
        </is>
      </c>
      <c r="N6" s="83" t="n">
        <v>33</v>
      </c>
      <c r="O6" s="84">
        <f>N6/56</f>
        <v/>
      </c>
      <c r="P6" s="85" t="inlineStr">
        <is>
          <t>33.33% (Equal Distribution)</t>
        </is>
      </c>
    </row>
    <row r="7" ht="18.75" customHeight="1" s="55">
      <c r="A7" s="68" t="n">
        <v>3</v>
      </c>
      <c r="B7" s="80" t="inlineStr">
        <is>
          <t>DI832</t>
        </is>
      </c>
      <c r="C7" s="68" t="n">
        <v>2</v>
      </c>
      <c r="D7" s="80" t="inlineStr">
        <is>
          <t>BT</t>
        </is>
      </c>
      <c r="E7" s="61" t="inlineStr">
        <is>
          <t>Brood Transporter</t>
        </is>
      </c>
      <c r="F7" s="80" t="inlineStr">
        <is>
          <t>04:26:36</t>
        </is>
      </c>
      <c r="G7" s="80" t="inlineStr">
        <is>
          <t>04:27:00</t>
        </is>
      </c>
      <c r="H7" s="80" t="inlineStr">
        <is>
          <t>00:00:24</t>
        </is>
      </c>
      <c r="I7" s="68" t="n">
        <v>24</v>
      </c>
      <c r="J7" s="68">
        <f>I7-4</f>
        <v/>
      </c>
      <c r="K7" s="80" t="inlineStr">
        <is>
          <t>Yes</t>
        </is>
      </c>
      <c r="M7" s="64" t="inlineStr">
        <is>
          <t>Brood Transporters (BT)</t>
        </is>
      </c>
      <c r="N7" s="86" t="n">
        <v>15</v>
      </c>
      <c r="O7" s="87">
        <f>N7/56</f>
        <v/>
      </c>
      <c r="P7" s="88" t="inlineStr">
        <is>
          <t>33.33% (Equal Distribution)</t>
        </is>
      </c>
    </row>
    <row r="8" ht="18.75" customHeight="1" s="55">
      <c r="A8" s="71" t="n">
        <v>4</v>
      </c>
      <c r="B8" s="82" t="inlineStr">
        <is>
          <t>DI832</t>
        </is>
      </c>
      <c r="C8" s="71" t="n">
        <v>3</v>
      </c>
      <c r="D8" s="82" t="inlineStr">
        <is>
          <t>BT</t>
        </is>
      </c>
      <c r="E8" s="62" t="inlineStr">
        <is>
          <t>Brood Transporter</t>
        </is>
      </c>
      <c r="F8" s="82" t="inlineStr">
        <is>
          <t>04:30:57</t>
        </is>
      </c>
      <c r="G8" s="82" t="inlineStr">
        <is>
          <t>04:31:25</t>
        </is>
      </c>
      <c r="H8" s="82" t="inlineStr">
        <is>
          <t>00:00:28</t>
        </is>
      </c>
      <c r="I8" s="71" t="n">
        <v>28</v>
      </c>
      <c r="J8" s="71">
        <f>I8-4</f>
        <v/>
      </c>
      <c r="K8" s="82" t="inlineStr">
        <is>
          <t>Yes</t>
        </is>
      </c>
      <c r="M8" s="63" t="inlineStr">
        <is>
          <t>Lost Followers (LF)</t>
        </is>
      </c>
      <c r="N8" s="83" t="n">
        <v>8</v>
      </c>
      <c r="O8" s="84">
        <f>N8/56</f>
        <v/>
      </c>
      <c r="P8" s="85" t="inlineStr">
        <is>
          <t>33.33% (Equal Distribution)</t>
        </is>
      </c>
    </row>
    <row r="9" ht="18.75" customHeight="1" s="55">
      <c r="A9" s="68" t="n">
        <v>5</v>
      </c>
      <c r="B9" s="80" t="inlineStr">
        <is>
          <t>DI832</t>
        </is>
      </c>
      <c r="C9" s="68" t="n">
        <v>4</v>
      </c>
      <c r="D9" s="80" t="inlineStr">
        <is>
          <t>BT</t>
        </is>
      </c>
      <c r="E9" s="61" t="inlineStr">
        <is>
          <t>Brood Transporter</t>
        </is>
      </c>
      <c r="F9" s="80" t="inlineStr">
        <is>
          <t>04:33:26</t>
        </is>
      </c>
      <c r="G9" s="80" t="inlineStr">
        <is>
          <t>04:34:42</t>
        </is>
      </c>
      <c r="H9" s="80" t="inlineStr">
        <is>
          <t>00:01:16</t>
        </is>
      </c>
      <c r="I9" s="68" t="n">
        <v>16</v>
      </c>
      <c r="J9" s="68">
        <f>I9-4</f>
        <v/>
      </c>
      <c r="K9" s="80" t="inlineStr">
        <is>
          <t>No</t>
        </is>
      </c>
      <c r="M9" s="89" t="inlineStr">
        <is>
          <t>Total Jam Events</t>
        </is>
      </c>
      <c r="N9" s="90">
        <f>SUM(N6:N8)</f>
        <v/>
      </c>
      <c r="O9" s="91">
        <f>SUM(O6:O8)</f>
        <v/>
      </c>
      <c r="P9" s="92" t="n">
        <v>1</v>
      </c>
    </row>
    <row r="10" ht="18.75" customHeight="1" s="55">
      <c r="A10" s="71" t="n">
        <v>6</v>
      </c>
      <c r="B10" s="82" t="inlineStr">
        <is>
          <t>DI833</t>
        </is>
      </c>
      <c r="C10" s="71" t="n">
        <v>1</v>
      </c>
      <c r="D10" s="82" t="inlineStr">
        <is>
          <t>RL</t>
        </is>
      </c>
      <c r="E10" s="62" t="inlineStr">
        <is>
          <t>Returning Leader</t>
        </is>
      </c>
      <c r="F10" s="82" t="inlineStr">
        <is>
          <t>04:13:39</t>
        </is>
      </c>
      <c r="G10" s="82" t="inlineStr">
        <is>
          <t>04:13:48</t>
        </is>
      </c>
      <c r="H10" s="82" t="inlineStr">
        <is>
          <t>00:00:09</t>
        </is>
      </c>
      <c r="I10" s="71" t="n">
        <v>9</v>
      </c>
      <c r="J10" s="71">
        <f>I10-4</f>
        <v/>
      </c>
      <c r="K10" s="82" t="inlineStr">
        <is>
          <t>Yes</t>
        </is>
      </c>
    </row>
    <row r="11" ht="18.75" customHeight="1" s="55">
      <c r="A11" s="68" t="n">
        <v>7</v>
      </c>
      <c r="B11" s="80" t="inlineStr">
        <is>
          <t>DI833</t>
        </is>
      </c>
      <c r="C11" s="68" t="n">
        <v>2</v>
      </c>
      <c r="D11" s="80" t="inlineStr">
        <is>
          <t>RL</t>
        </is>
      </c>
      <c r="E11" s="61" t="inlineStr">
        <is>
          <t>Returning Leader</t>
        </is>
      </c>
      <c r="F11" s="80" t="inlineStr">
        <is>
          <t>04:14:37</t>
        </is>
      </c>
      <c r="G11" s="80" t="inlineStr">
        <is>
          <t>04:14:47</t>
        </is>
      </c>
      <c r="H11" s="80" t="inlineStr">
        <is>
          <t>00:00:10</t>
        </is>
      </c>
      <c r="I11" s="68" t="n">
        <v>10</v>
      </c>
      <c r="J11" s="68">
        <f>I11-4</f>
        <v/>
      </c>
      <c r="K11" s="80" t="inlineStr">
        <is>
          <t>Yes</t>
        </is>
      </c>
    </row>
    <row r="12" ht="18.75" customHeight="1" s="55">
      <c r="A12" s="71" t="n">
        <v>8</v>
      </c>
      <c r="B12" s="82" t="inlineStr">
        <is>
          <t>DI833</t>
        </is>
      </c>
      <c r="C12" s="71" t="n">
        <v>3</v>
      </c>
      <c r="D12" s="82" t="inlineStr">
        <is>
          <t>RL</t>
        </is>
      </c>
      <c r="E12" s="62" t="inlineStr">
        <is>
          <t>Returning Leader</t>
        </is>
      </c>
      <c r="F12" s="82" t="inlineStr">
        <is>
          <t>04:15:45</t>
        </is>
      </c>
      <c r="G12" s="82" t="inlineStr">
        <is>
          <t>04:15:54</t>
        </is>
      </c>
      <c r="H12" s="82" t="inlineStr">
        <is>
          <t>00:00:09</t>
        </is>
      </c>
      <c r="I12" s="71" t="n">
        <v>9</v>
      </c>
      <c r="J12" s="71">
        <f>I12-4</f>
        <v/>
      </c>
      <c r="K12" s="82" t="inlineStr">
        <is>
          <t>No</t>
        </is>
      </c>
    </row>
    <row r="13" ht="18.75" customHeight="1" s="55">
      <c r="A13" s="68" t="n">
        <v>9</v>
      </c>
      <c r="B13" s="80" t="inlineStr">
        <is>
          <t>DI833</t>
        </is>
      </c>
      <c r="C13" s="68" t="n">
        <v>4</v>
      </c>
      <c r="D13" s="80" t="inlineStr">
        <is>
          <t>RL</t>
        </is>
      </c>
      <c r="E13" s="61" t="inlineStr">
        <is>
          <t>Returning Leader</t>
        </is>
      </c>
      <c r="F13" s="80" t="inlineStr">
        <is>
          <t>04:16:00</t>
        </is>
      </c>
      <c r="G13" s="80" t="inlineStr">
        <is>
          <t>04:16:16</t>
        </is>
      </c>
      <c r="H13" s="80" t="inlineStr">
        <is>
          <t>00:00:16</t>
        </is>
      </c>
      <c r="I13" s="68" t="n">
        <v>16</v>
      </c>
      <c r="J13" s="68">
        <f>I13-4</f>
        <v/>
      </c>
      <c r="K13" s="80" t="inlineStr">
        <is>
          <t>Yes</t>
        </is>
      </c>
    </row>
    <row r="14" ht="18.75" customHeight="1" s="55">
      <c r="A14" s="71" t="n">
        <v>10</v>
      </c>
      <c r="B14" s="82" t="inlineStr">
        <is>
          <t>DI833</t>
        </is>
      </c>
      <c r="C14" s="71" t="n">
        <v>5</v>
      </c>
      <c r="D14" s="82" t="inlineStr">
        <is>
          <t>RL</t>
        </is>
      </c>
      <c r="E14" s="62" t="inlineStr">
        <is>
          <t>Returning Leader</t>
        </is>
      </c>
      <c r="F14" s="82" t="inlineStr">
        <is>
          <t>04:16:51</t>
        </is>
      </c>
      <c r="G14" s="82" t="inlineStr">
        <is>
          <t>04:17:30</t>
        </is>
      </c>
      <c r="H14" s="82" t="inlineStr">
        <is>
          <t>00:00:39</t>
        </is>
      </c>
      <c r="I14" s="71" t="n">
        <v>39</v>
      </c>
      <c r="J14" s="71">
        <f>I14-4</f>
        <v/>
      </c>
      <c r="K14" s="82" t="inlineStr">
        <is>
          <t>Yes</t>
        </is>
      </c>
    </row>
    <row r="15" ht="18.75" customHeight="1" s="55">
      <c r="A15" s="68" t="n">
        <v>11</v>
      </c>
      <c r="B15" s="80" t="inlineStr">
        <is>
          <t>DI833</t>
        </is>
      </c>
      <c r="C15" s="68" t="n">
        <v>6</v>
      </c>
      <c r="D15" s="80" t="inlineStr">
        <is>
          <t>RL</t>
        </is>
      </c>
      <c r="E15" s="61" t="inlineStr">
        <is>
          <t>Returning Leader</t>
        </is>
      </c>
      <c r="F15" s="80" t="inlineStr">
        <is>
          <t>04:20:35</t>
        </is>
      </c>
      <c r="G15" s="80" t="inlineStr">
        <is>
          <t>04:20:47</t>
        </is>
      </c>
      <c r="H15" s="80" t="inlineStr">
        <is>
          <t>00:00:12</t>
        </is>
      </c>
      <c r="I15" s="68" t="n">
        <v>12</v>
      </c>
      <c r="J15" s="68">
        <f>I15-4</f>
        <v/>
      </c>
      <c r="K15" s="80" t="inlineStr">
        <is>
          <t>Yes</t>
        </is>
      </c>
    </row>
    <row r="16" ht="18.75" customHeight="1" s="55">
      <c r="A16" s="71" t="n">
        <v>12</v>
      </c>
      <c r="B16" s="82" t="inlineStr">
        <is>
          <t>DI833</t>
        </is>
      </c>
      <c r="C16" s="71" t="n">
        <v>7</v>
      </c>
      <c r="D16" s="82" t="inlineStr">
        <is>
          <t>RL</t>
        </is>
      </c>
      <c r="E16" s="62" t="inlineStr">
        <is>
          <t>Returning Leader</t>
        </is>
      </c>
      <c r="F16" s="82" t="inlineStr">
        <is>
          <t>04:24:03</t>
        </is>
      </c>
      <c r="G16" s="82" t="inlineStr">
        <is>
          <t>04:24:21</t>
        </is>
      </c>
      <c r="H16" s="82" t="inlineStr">
        <is>
          <t>00:00:18</t>
        </is>
      </c>
      <c r="I16" s="71" t="n">
        <v>18</v>
      </c>
      <c r="J16" s="71">
        <f>I16-4</f>
        <v/>
      </c>
      <c r="K16" s="82" t="inlineStr">
        <is>
          <t>Yes</t>
        </is>
      </c>
    </row>
    <row r="17" ht="18.75" customHeight="1" s="55">
      <c r="A17" s="68" t="n">
        <v>13</v>
      </c>
      <c r="B17" s="80" t="inlineStr">
        <is>
          <t>DI833</t>
        </is>
      </c>
      <c r="C17" s="68" t="n">
        <v>8</v>
      </c>
      <c r="D17" s="80" t="inlineStr">
        <is>
          <t>RL</t>
        </is>
      </c>
      <c r="E17" s="61" t="inlineStr">
        <is>
          <t>Returning Leader</t>
        </is>
      </c>
      <c r="F17" s="80" t="inlineStr">
        <is>
          <t>04:24:58</t>
        </is>
      </c>
      <c r="G17" s="80" t="inlineStr">
        <is>
          <t>04:25:05</t>
        </is>
      </c>
      <c r="H17" s="80" t="inlineStr">
        <is>
          <t>00:00:07</t>
        </is>
      </c>
      <c r="I17" s="68" t="n">
        <v>7</v>
      </c>
      <c r="J17" s="68">
        <f>I17-4</f>
        <v/>
      </c>
      <c r="K17" s="80" t="inlineStr">
        <is>
          <t>Yes</t>
        </is>
      </c>
    </row>
    <row r="18" ht="18.75" customHeight="1" s="55">
      <c r="A18" s="71" t="n">
        <v>14</v>
      </c>
      <c r="B18" s="82" t="inlineStr">
        <is>
          <t>DI833</t>
        </is>
      </c>
      <c r="C18" s="71" t="n">
        <v>9</v>
      </c>
      <c r="D18" s="82" t="inlineStr">
        <is>
          <t>RL</t>
        </is>
      </c>
      <c r="E18" s="62" t="inlineStr">
        <is>
          <t>Returning Leader</t>
        </is>
      </c>
      <c r="F18" s="82" t="inlineStr">
        <is>
          <t>04:25:50</t>
        </is>
      </c>
      <c r="G18" s="82" t="inlineStr">
        <is>
          <t>04:26:06</t>
        </is>
      </c>
      <c r="H18" s="82" t="inlineStr">
        <is>
          <t>00:00:16</t>
        </is>
      </c>
      <c r="I18" s="71" t="n">
        <v>16</v>
      </c>
      <c r="J18" s="71">
        <f>I18-4</f>
        <v/>
      </c>
      <c r="K18" s="82" t="inlineStr">
        <is>
          <t>Yes</t>
        </is>
      </c>
    </row>
    <row r="19" ht="18.75" customHeight="1" s="55">
      <c r="A19" s="68" t="n">
        <v>15</v>
      </c>
      <c r="B19" s="80" t="inlineStr">
        <is>
          <t>DI833</t>
        </is>
      </c>
      <c r="C19" s="68" t="n">
        <v>10</v>
      </c>
      <c r="D19" s="80" t="inlineStr">
        <is>
          <t>RL</t>
        </is>
      </c>
      <c r="E19" s="61" t="inlineStr">
        <is>
          <t>Returning Leader</t>
        </is>
      </c>
      <c r="F19" s="80" t="inlineStr">
        <is>
          <t>04:27:17</t>
        </is>
      </c>
      <c r="G19" s="80" t="inlineStr">
        <is>
          <t>04:28:12</t>
        </is>
      </c>
      <c r="H19" s="80" t="inlineStr">
        <is>
          <t>00:00:55</t>
        </is>
      </c>
      <c r="I19" s="68" t="n">
        <v>55</v>
      </c>
      <c r="J19" s="68">
        <f>I19-4</f>
        <v/>
      </c>
      <c r="K19" s="80" t="inlineStr">
        <is>
          <t>Yes</t>
        </is>
      </c>
    </row>
    <row r="20" ht="18.75" customHeight="1" s="55">
      <c r="A20" s="71" t="n">
        <v>16</v>
      </c>
      <c r="B20" s="82" t="inlineStr">
        <is>
          <t>DI833</t>
        </is>
      </c>
      <c r="C20" s="71" t="n">
        <v>11</v>
      </c>
      <c r="D20" s="82" t="inlineStr">
        <is>
          <t>LF</t>
        </is>
      </c>
      <c r="E20" s="62" t="inlineStr">
        <is>
          <t>Lost Follower</t>
        </is>
      </c>
      <c r="F20" s="82" t="inlineStr">
        <is>
          <t>04:31:42</t>
        </is>
      </c>
      <c r="G20" s="82" t="inlineStr">
        <is>
          <t>04:32:57</t>
        </is>
      </c>
      <c r="H20" s="82" t="inlineStr">
        <is>
          <t>00:01:15</t>
        </is>
      </c>
      <c r="I20" s="71" t="n">
        <v>75</v>
      </c>
      <c r="J20" s="71">
        <f>I20-4</f>
        <v/>
      </c>
      <c r="K20" s="82" t="inlineStr">
        <is>
          <t>Yes</t>
        </is>
      </c>
    </row>
    <row r="21" ht="18.75" customHeight="1" s="55">
      <c r="A21" s="68" t="n">
        <v>17</v>
      </c>
      <c r="B21" s="80" t="inlineStr">
        <is>
          <t>DI834</t>
        </is>
      </c>
      <c r="C21" s="68" t="n">
        <v>1</v>
      </c>
      <c r="D21" s="80" t="inlineStr">
        <is>
          <t>IBT</t>
        </is>
      </c>
      <c r="E21" s="61" t="inlineStr">
        <is>
          <t>Brood Transporter (Interrupted)</t>
        </is>
      </c>
      <c r="F21" s="80" t="inlineStr">
        <is>
          <t>11:47:51</t>
        </is>
      </c>
      <c r="G21" s="80" t="inlineStr">
        <is>
          <t>11:47:59</t>
        </is>
      </c>
      <c r="H21" s="80" t="inlineStr">
        <is>
          <t>00:00:08</t>
        </is>
      </c>
      <c r="I21" s="68" t="n">
        <v>8</v>
      </c>
      <c r="J21" s="68">
        <f>I21-4</f>
        <v/>
      </c>
      <c r="K21" s="80" t="inlineStr">
        <is>
          <t>Yes</t>
        </is>
      </c>
    </row>
    <row r="22" ht="18.75" customHeight="1" s="55">
      <c r="A22" s="71" t="n">
        <v>18</v>
      </c>
      <c r="B22" s="82" t="inlineStr">
        <is>
          <t>DI834</t>
        </is>
      </c>
      <c r="C22" s="71" t="n">
        <v>2</v>
      </c>
      <c r="D22" s="82" t="inlineStr">
        <is>
          <t>RL</t>
        </is>
      </c>
      <c r="E22" s="62" t="inlineStr">
        <is>
          <t>Returning Leader</t>
        </is>
      </c>
      <c r="F22" s="82" t="inlineStr">
        <is>
          <t>11:52:53</t>
        </is>
      </c>
      <c r="G22" s="82" t="inlineStr">
        <is>
          <t>11:53:07</t>
        </is>
      </c>
      <c r="H22" s="82" t="inlineStr">
        <is>
          <t>00:00:14</t>
        </is>
      </c>
      <c r="I22" s="71" t="n">
        <v>14</v>
      </c>
      <c r="J22" s="71">
        <f>I22-4</f>
        <v/>
      </c>
      <c r="K22" s="82" t="inlineStr">
        <is>
          <t>Yes</t>
        </is>
      </c>
    </row>
    <row r="23" ht="18.75" customHeight="1" s="55">
      <c r="A23" s="68" t="n">
        <v>19</v>
      </c>
      <c r="B23" s="80" t="inlineStr">
        <is>
          <t>DI834</t>
        </is>
      </c>
      <c r="C23" s="68" t="n">
        <v>3</v>
      </c>
      <c r="D23" s="80" t="inlineStr">
        <is>
          <t>BT</t>
        </is>
      </c>
      <c r="E23" s="61" t="inlineStr">
        <is>
          <t>Brood Transporter</t>
        </is>
      </c>
      <c r="F23" s="80" t="inlineStr">
        <is>
          <t>11:55:41</t>
        </is>
      </c>
      <c r="G23" s="80" t="inlineStr">
        <is>
          <t>11:56:10</t>
        </is>
      </c>
      <c r="H23" s="80" t="inlineStr">
        <is>
          <t>00:00:29</t>
        </is>
      </c>
      <c r="I23" s="68" t="n">
        <v>29</v>
      </c>
      <c r="J23" s="68">
        <f>I23-4</f>
        <v/>
      </c>
      <c r="K23" s="80" t="inlineStr">
        <is>
          <t>Yes</t>
        </is>
      </c>
    </row>
    <row r="24" ht="18.75" customHeight="1" s="55">
      <c r="A24" s="71" t="n">
        <v>20</v>
      </c>
      <c r="B24" s="82" t="inlineStr">
        <is>
          <t>DI834</t>
        </is>
      </c>
      <c r="C24" s="71" t="n">
        <v>4</v>
      </c>
      <c r="D24" s="82" t="inlineStr">
        <is>
          <t>BT</t>
        </is>
      </c>
      <c r="E24" s="62" t="inlineStr">
        <is>
          <t>Brood Transporter</t>
        </is>
      </c>
      <c r="F24" s="82" t="inlineStr">
        <is>
          <t>11:56:14</t>
        </is>
      </c>
      <c r="G24" s="82" t="inlineStr">
        <is>
          <t>11:56:40</t>
        </is>
      </c>
      <c r="H24" s="82" t="inlineStr">
        <is>
          <t>00:00:26</t>
        </is>
      </c>
      <c r="I24" s="71" t="n">
        <v>26</v>
      </c>
      <c r="J24" s="71">
        <f>I24-4</f>
        <v/>
      </c>
      <c r="K24" s="82" t="inlineStr">
        <is>
          <t>Yes</t>
        </is>
      </c>
    </row>
    <row r="25" ht="18.75" customHeight="1" s="55">
      <c r="A25" s="68" t="n">
        <v>21</v>
      </c>
      <c r="B25" s="80" t="inlineStr">
        <is>
          <t>DI835</t>
        </is>
      </c>
      <c r="C25" s="68" t="n">
        <v>1</v>
      </c>
      <c r="D25" s="80" t="inlineStr">
        <is>
          <t>RL</t>
        </is>
      </c>
      <c r="E25" s="61" t="inlineStr">
        <is>
          <t>Returning Leader</t>
        </is>
      </c>
      <c r="F25" s="80" t="inlineStr">
        <is>
          <t>02:58:47</t>
        </is>
      </c>
      <c r="G25" s="80" t="inlineStr">
        <is>
          <t>02:59:01</t>
        </is>
      </c>
      <c r="H25" s="80" t="inlineStr">
        <is>
          <t>00:00:14</t>
        </is>
      </c>
      <c r="I25" s="68" t="n">
        <v>14</v>
      </c>
      <c r="J25" s="68">
        <f>I25-4</f>
        <v/>
      </c>
      <c r="K25" s="80" t="inlineStr">
        <is>
          <t>Yes</t>
        </is>
      </c>
    </row>
    <row r="26" ht="18.75" customHeight="1" s="55">
      <c r="A26" s="71" t="n">
        <v>22</v>
      </c>
      <c r="B26" s="82" t="inlineStr">
        <is>
          <t>DI835</t>
        </is>
      </c>
      <c r="C26" s="71" t="n">
        <v>2</v>
      </c>
      <c r="D26" s="82" t="inlineStr">
        <is>
          <t>RL</t>
        </is>
      </c>
      <c r="E26" s="62" t="inlineStr">
        <is>
          <t>Returning Leader</t>
        </is>
      </c>
      <c r="F26" s="82" t="inlineStr">
        <is>
          <t>03:00:20</t>
        </is>
      </c>
      <c r="G26" s="82" t="inlineStr">
        <is>
          <t>03:00:26</t>
        </is>
      </c>
      <c r="H26" s="82" t="inlineStr">
        <is>
          <t>00:00:06</t>
        </is>
      </c>
      <c r="I26" s="71" t="n">
        <v>6</v>
      </c>
      <c r="J26" s="71">
        <f>I26-4</f>
        <v/>
      </c>
      <c r="K26" s="82" t="inlineStr">
        <is>
          <t>Yes</t>
        </is>
      </c>
    </row>
    <row r="27" ht="18.75" customHeight="1" s="55">
      <c r="A27" s="68" t="n">
        <v>23</v>
      </c>
      <c r="B27" s="80" t="inlineStr">
        <is>
          <t>DI835</t>
        </is>
      </c>
      <c r="C27" s="68" t="n">
        <v>3</v>
      </c>
      <c r="D27" s="80" t="inlineStr">
        <is>
          <t>LF</t>
        </is>
      </c>
      <c r="E27" s="61" t="inlineStr">
        <is>
          <t>Lost Follower</t>
        </is>
      </c>
      <c r="F27" s="80" t="inlineStr">
        <is>
          <t>03:00:34</t>
        </is>
      </c>
      <c r="G27" s="80" t="inlineStr">
        <is>
          <t>03:00:38</t>
        </is>
      </c>
      <c r="H27" s="80" t="inlineStr">
        <is>
          <t>00:00:04</t>
        </is>
      </c>
      <c r="I27" s="68" t="n">
        <v>4</v>
      </c>
      <c r="J27" s="68">
        <f>I27-4</f>
        <v/>
      </c>
      <c r="K27" s="80" t="inlineStr">
        <is>
          <t>Yes</t>
        </is>
      </c>
    </row>
    <row r="28" ht="18.75" customHeight="1" s="55">
      <c r="A28" s="71" t="n">
        <v>24</v>
      </c>
      <c r="B28" s="82" t="inlineStr">
        <is>
          <t>DI835</t>
        </is>
      </c>
      <c r="C28" s="71" t="n">
        <v>4</v>
      </c>
      <c r="D28" s="82" t="inlineStr">
        <is>
          <t>RL</t>
        </is>
      </c>
      <c r="E28" s="62" t="inlineStr">
        <is>
          <t>Returning Leader</t>
        </is>
      </c>
      <c r="F28" s="82" t="inlineStr">
        <is>
          <t>03:01:11</t>
        </is>
      </c>
      <c r="G28" s="82" t="inlineStr">
        <is>
          <t>03:02:15</t>
        </is>
      </c>
      <c r="H28" s="82" t="inlineStr">
        <is>
          <t>00:01:04</t>
        </is>
      </c>
      <c r="I28" s="71" t="n">
        <v>64</v>
      </c>
      <c r="J28" s="71">
        <f>I28-4</f>
        <v/>
      </c>
      <c r="K28" s="82" t="inlineStr">
        <is>
          <t>Yes</t>
        </is>
      </c>
    </row>
    <row r="29" ht="18.75" customHeight="1" s="55">
      <c r="A29" s="68" t="n">
        <v>25</v>
      </c>
      <c r="B29" s="80" t="inlineStr">
        <is>
          <t>DI836</t>
        </is>
      </c>
      <c r="C29" s="68" t="n">
        <v>1</v>
      </c>
      <c r="D29" s="80" t="inlineStr">
        <is>
          <t>BT</t>
        </is>
      </c>
      <c r="E29" s="61" t="inlineStr">
        <is>
          <t>Brood Transporter</t>
        </is>
      </c>
      <c r="F29" s="80" t="inlineStr">
        <is>
          <t>03:37:40</t>
        </is>
      </c>
      <c r="G29" s="80" t="inlineStr">
        <is>
          <t>03:38:48</t>
        </is>
      </c>
      <c r="H29" s="80" t="inlineStr">
        <is>
          <t>00:01:08</t>
        </is>
      </c>
      <c r="I29" s="68" t="n">
        <v>68</v>
      </c>
      <c r="J29" s="68">
        <f>I29-4</f>
        <v/>
      </c>
      <c r="K29" s="80" t="inlineStr">
        <is>
          <t>Yes</t>
        </is>
      </c>
    </row>
    <row r="30" ht="18.75" customHeight="1" s="55">
      <c r="A30" s="71" t="n">
        <v>26</v>
      </c>
      <c r="B30" s="82" t="inlineStr">
        <is>
          <t>DI836</t>
        </is>
      </c>
      <c r="C30" s="71" t="n">
        <v>2</v>
      </c>
      <c r="D30" s="82" t="inlineStr">
        <is>
          <t>BT</t>
        </is>
      </c>
      <c r="E30" s="62" t="inlineStr">
        <is>
          <t>Brood Transporter</t>
        </is>
      </c>
      <c r="F30" s="82" t="inlineStr">
        <is>
          <t>03:39:39</t>
        </is>
      </c>
      <c r="G30" s="82" t="inlineStr">
        <is>
          <t>03:39:42</t>
        </is>
      </c>
      <c r="H30" s="82" t="inlineStr">
        <is>
          <t>00:00:03</t>
        </is>
      </c>
      <c r="I30" s="71" t="n">
        <v>3</v>
      </c>
      <c r="J30" s="71">
        <f>I30-4</f>
        <v/>
      </c>
      <c r="K30" s="82" t="inlineStr">
        <is>
          <t>Yes</t>
        </is>
      </c>
    </row>
    <row r="31" ht="18.75" customHeight="1" s="55">
      <c r="A31" s="68" t="n">
        <v>27</v>
      </c>
      <c r="B31" s="80" t="inlineStr">
        <is>
          <t>DI836</t>
        </is>
      </c>
      <c r="C31" s="68" t="n">
        <v>3</v>
      </c>
      <c r="D31" s="80" t="inlineStr">
        <is>
          <t>RL</t>
        </is>
      </c>
      <c r="E31" s="61" t="inlineStr">
        <is>
          <t>Returning Leader</t>
        </is>
      </c>
      <c r="F31" s="80" t="inlineStr">
        <is>
          <t>03:41:47</t>
        </is>
      </c>
      <c r="G31" s="80" t="inlineStr">
        <is>
          <t>03:41:55</t>
        </is>
      </c>
      <c r="H31" s="80" t="inlineStr">
        <is>
          <t>00:00:08</t>
        </is>
      </c>
      <c r="I31" s="68" t="n">
        <v>8</v>
      </c>
      <c r="J31" s="68">
        <f>I31-4</f>
        <v/>
      </c>
      <c r="K31" s="80" t="inlineStr">
        <is>
          <t>Yes</t>
        </is>
      </c>
    </row>
    <row r="32" ht="18.75" customHeight="1" s="55">
      <c r="A32" s="71" t="n">
        <v>28</v>
      </c>
      <c r="B32" s="82" t="inlineStr">
        <is>
          <t>DI836</t>
        </is>
      </c>
      <c r="C32" s="71" t="n">
        <v>4</v>
      </c>
      <c r="D32" s="82" t="inlineStr">
        <is>
          <t>RL</t>
        </is>
      </c>
      <c r="E32" s="62" t="inlineStr">
        <is>
          <t>Returning Leader</t>
        </is>
      </c>
      <c r="F32" s="82" t="inlineStr">
        <is>
          <t>03:45:32</t>
        </is>
      </c>
      <c r="G32" s="82" t="inlineStr">
        <is>
          <t>03:45:40</t>
        </is>
      </c>
      <c r="H32" s="82" t="inlineStr">
        <is>
          <t>00:00:08</t>
        </is>
      </c>
      <c r="I32" s="71" t="n">
        <v>8</v>
      </c>
      <c r="J32" s="71">
        <f>I32-4</f>
        <v/>
      </c>
      <c r="K32" s="82" t="inlineStr">
        <is>
          <t>Yes</t>
        </is>
      </c>
    </row>
    <row r="33" ht="18.75" customHeight="1" s="55">
      <c r="A33" s="68" t="n">
        <v>29</v>
      </c>
      <c r="B33" s="80" t="inlineStr">
        <is>
          <t>DI836</t>
        </is>
      </c>
      <c r="C33" s="68" t="n">
        <v>5</v>
      </c>
      <c r="D33" s="80" t="inlineStr">
        <is>
          <t>RL</t>
        </is>
      </c>
      <c r="E33" s="61" t="inlineStr">
        <is>
          <t>Returning Leader</t>
        </is>
      </c>
      <c r="F33" s="80" t="inlineStr">
        <is>
          <t>03:46:05</t>
        </is>
      </c>
      <c r="G33" s="80" t="inlineStr">
        <is>
          <t>03:46:12</t>
        </is>
      </c>
      <c r="H33" s="80" t="inlineStr">
        <is>
          <t>00:00:07</t>
        </is>
      </c>
      <c r="I33" s="68" t="n">
        <v>7</v>
      </c>
      <c r="J33" s="68">
        <f>I33-4</f>
        <v/>
      </c>
      <c r="K33" s="80" t="inlineStr">
        <is>
          <t>No</t>
        </is>
      </c>
    </row>
    <row r="34" ht="18.75" customHeight="1" s="55">
      <c r="A34" s="71" t="n">
        <v>30</v>
      </c>
      <c r="B34" s="82" t="inlineStr">
        <is>
          <t>DI836</t>
        </is>
      </c>
      <c r="C34" s="71" t="n">
        <v>6</v>
      </c>
      <c r="D34" s="82" t="inlineStr">
        <is>
          <t>RL</t>
        </is>
      </c>
      <c r="E34" s="62" t="inlineStr">
        <is>
          <t>Returning Leader</t>
        </is>
      </c>
      <c r="F34" s="82" t="inlineStr">
        <is>
          <t>03:46:33</t>
        </is>
      </c>
      <c r="G34" s="82" t="inlineStr">
        <is>
          <t>03:46:42</t>
        </is>
      </c>
      <c r="H34" s="82" t="inlineStr">
        <is>
          <t>00:00:09</t>
        </is>
      </c>
      <c r="I34" s="71" t="n">
        <v>9</v>
      </c>
      <c r="J34" s="71">
        <f>I34-4</f>
        <v/>
      </c>
      <c r="K34" s="82" t="inlineStr">
        <is>
          <t>Yes</t>
        </is>
      </c>
    </row>
    <row r="35" ht="18.75" customHeight="1" s="55">
      <c r="A35" s="68" t="n">
        <v>31</v>
      </c>
      <c r="B35" s="80" t="inlineStr">
        <is>
          <t>DI836</t>
        </is>
      </c>
      <c r="C35" s="68" t="n">
        <v>7</v>
      </c>
      <c r="D35" s="80" t="inlineStr">
        <is>
          <t>RL</t>
        </is>
      </c>
      <c r="E35" s="61" t="inlineStr">
        <is>
          <t>Returning Leader</t>
        </is>
      </c>
      <c r="F35" s="80" t="inlineStr">
        <is>
          <t>03:48:12</t>
        </is>
      </c>
      <c r="G35" s="80" t="inlineStr">
        <is>
          <t>03:48:19</t>
        </is>
      </c>
      <c r="H35" s="80" t="inlineStr">
        <is>
          <t>00:00:07</t>
        </is>
      </c>
      <c r="I35" s="68" t="n">
        <v>7</v>
      </c>
      <c r="J35" s="68">
        <f>I35-4</f>
        <v/>
      </c>
      <c r="K35" s="80" t="inlineStr">
        <is>
          <t>Yes</t>
        </is>
      </c>
    </row>
    <row r="36" ht="18.75" customHeight="1" s="55">
      <c r="A36" s="71" t="n">
        <v>32</v>
      </c>
      <c r="B36" s="82" t="inlineStr">
        <is>
          <t>DI836</t>
        </is>
      </c>
      <c r="C36" s="71" t="n">
        <v>8</v>
      </c>
      <c r="D36" s="82" t="inlineStr">
        <is>
          <t>RL</t>
        </is>
      </c>
      <c r="E36" s="62" t="inlineStr">
        <is>
          <t>Returning Leader</t>
        </is>
      </c>
      <c r="F36" s="82" t="inlineStr">
        <is>
          <t>03:49:58</t>
        </is>
      </c>
      <c r="G36" s="82" t="inlineStr">
        <is>
          <t>03:50:13</t>
        </is>
      </c>
      <c r="H36" s="82" t="inlineStr">
        <is>
          <t>00:00:15</t>
        </is>
      </c>
      <c r="I36" s="71" t="n">
        <v>15</v>
      </c>
      <c r="J36" s="71">
        <f>I36-4</f>
        <v/>
      </c>
      <c r="K36" s="82" t="inlineStr">
        <is>
          <t>Yes</t>
        </is>
      </c>
    </row>
    <row r="37" ht="18.75" customHeight="1" s="55">
      <c r="A37" s="68" t="n">
        <v>33</v>
      </c>
      <c r="B37" s="80" t="inlineStr">
        <is>
          <t>DI836</t>
        </is>
      </c>
      <c r="C37" s="68" t="n">
        <v>9</v>
      </c>
      <c r="D37" s="80" t="inlineStr">
        <is>
          <t>RL</t>
        </is>
      </c>
      <c r="E37" s="61" t="inlineStr">
        <is>
          <t>Returning Leader</t>
        </is>
      </c>
      <c r="F37" s="80" t="inlineStr">
        <is>
          <t>03:51:43</t>
        </is>
      </c>
      <c r="G37" s="80" t="inlineStr">
        <is>
          <t>03:51:48</t>
        </is>
      </c>
      <c r="H37" s="80" t="inlineStr">
        <is>
          <t>00:00:05</t>
        </is>
      </c>
      <c r="I37" s="68" t="n">
        <v>5</v>
      </c>
      <c r="J37" s="68">
        <f>I37-4</f>
        <v/>
      </c>
      <c r="K37" s="80" t="inlineStr">
        <is>
          <t>Yes</t>
        </is>
      </c>
    </row>
    <row r="38" ht="18.75" customHeight="1" s="55">
      <c r="A38" s="71" t="n">
        <v>34</v>
      </c>
      <c r="B38" s="82" t="inlineStr">
        <is>
          <t>DI836</t>
        </is>
      </c>
      <c r="C38" s="71" t="n">
        <v>10</v>
      </c>
      <c r="D38" s="82" t="inlineStr">
        <is>
          <t>RL</t>
        </is>
      </c>
      <c r="E38" s="62" t="inlineStr">
        <is>
          <t>Returning Leader</t>
        </is>
      </c>
      <c r="F38" s="82" t="inlineStr">
        <is>
          <t>03:52:39</t>
        </is>
      </c>
      <c r="G38" s="82" t="inlineStr">
        <is>
          <t>03:52:52</t>
        </is>
      </c>
      <c r="H38" s="82" t="inlineStr">
        <is>
          <t>00:00:13</t>
        </is>
      </c>
      <c r="I38" s="71" t="n">
        <v>13</v>
      </c>
      <c r="J38" s="71">
        <f>I38-4</f>
        <v/>
      </c>
      <c r="K38" s="82" t="inlineStr">
        <is>
          <t>Yes</t>
        </is>
      </c>
    </row>
    <row r="39" ht="18.75" customHeight="1" s="55">
      <c r="A39" s="68" t="n">
        <v>35</v>
      </c>
      <c r="B39" s="80" t="inlineStr">
        <is>
          <t>DI837</t>
        </is>
      </c>
      <c r="C39" s="68" t="n">
        <v>1</v>
      </c>
      <c r="D39" s="80" t="inlineStr">
        <is>
          <t>BT</t>
        </is>
      </c>
      <c r="E39" s="61" t="inlineStr">
        <is>
          <t>Brood Transporter</t>
        </is>
      </c>
      <c r="F39" s="80" t="inlineStr">
        <is>
          <t>05:05:17</t>
        </is>
      </c>
      <c r="G39" s="80" t="inlineStr">
        <is>
          <t>05:05:21</t>
        </is>
      </c>
      <c r="H39" s="80" t="inlineStr">
        <is>
          <t>00:00:04</t>
        </is>
      </c>
      <c r="I39" s="68" t="n">
        <v>4</v>
      </c>
      <c r="J39" s="68">
        <f>I39-4</f>
        <v/>
      </c>
      <c r="K39" s="80" t="inlineStr">
        <is>
          <t>Yes</t>
        </is>
      </c>
    </row>
    <row r="40" ht="18.75" customHeight="1" s="55">
      <c r="A40" s="71" t="n">
        <v>36</v>
      </c>
      <c r="B40" s="82" t="inlineStr">
        <is>
          <t>DI837</t>
        </is>
      </c>
      <c r="C40" s="71" t="n">
        <v>2</v>
      </c>
      <c r="D40" s="82" t="inlineStr">
        <is>
          <t>BT</t>
        </is>
      </c>
      <c r="E40" s="62" t="inlineStr">
        <is>
          <t>Brood Transporter</t>
        </is>
      </c>
      <c r="F40" s="82" t="inlineStr">
        <is>
          <t>05:06:21</t>
        </is>
      </c>
      <c r="G40" s="82" t="inlineStr">
        <is>
          <t>05:06:35</t>
        </is>
      </c>
      <c r="H40" s="82" t="inlineStr">
        <is>
          <t>00:00:14</t>
        </is>
      </c>
      <c r="I40" s="71" t="n">
        <v>14</v>
      </c>
      <c r="J40" s="71">
        <f>I40-4</f>
        <v/>
      </c>
      <c r="K40" s="82" t="inlineStr">
        <is>
          <t>Yes</t>
        </is>
      </c>
    </row>
    <row r="41" ht="18.75" customHeight="1" s="55">
      <c r="A41" s="68" t="n">
        <v>37</v>
      </c>
      <c r="B41" s="80" t="inlineStr">
        <is>
          <t>DI837</t>
        </is>
      </c>
      <c r="C41" s="68" t="n">
        <v>3</v>
      </c>
      <c r="D41" s="80" t="inlineStr">
        <is>
          <t>RL</t>
        </is>
      </c>
      <c r="E41" s="61" t="inlineStr">
        <is>
          <t>Returning Leader</t>
        </is>
      </c>
      <c r="F41" s="80" t="inlineStr">
        <is>
          <t>05:08:02</t>
        </is>
      </c>
      <c r="G41" s="80" t="inlineStr">
        <is>
          <t>05:08:11</t>
        </is>
      </c>
      <c r="H41" s="80" t="inlineStr">
        <is>
          <t>00:00:09</t>
        </is>
      </c>
      <c r="I41" s="68" t="n">
        <v>9</v>
      </c>
      <c r="J41" s="68">
        <f>I41-4</f>
        <v/>
      </c>
      <c r="K41" s="80" t="inlineStr">
        <is>
          <t>Yes</t>
        </is>
      </c>
    </row>
    <row r="42" ht="18.75" customHeight="1" s="55">
      <c r="A42" s="71" t="n">
        <v>38</v>
      </c>
      <c r="B42" s="82" t="inlineStr">
        <is>
          <t>DI837</t>
        </is>
      </c>
      <c r="C42" s="71" t="n">
        <v>4</v>
      </c>
      <c r="D42" s="82" t="inlineStr">
        <is>
          <t>LF</t>
        </is>
      </c>
      <c r="E42" s="62" t="inlineStr">
        <is>
          <t>Lost Follower</t>
        </is>
      </c>
      <c r="F42" s="82" t="inlineStr">
        <is>
          <t>05:10:54</t>
        </is>
      </c>
      <c r="G42" s="82" t="inlineStr">
        <is>
          <t>05:11:00</t>
        </is>
      </c>
      <c r="H42" s="82" t="inlineStr">
        <is>
          <t>00:00:06</t>
        </is>
      </c>
      <c r="I42" s="71" t="n">
        <v>6</v>
      </c>
      <c r="J42" s="71">
        <f>I42-4</f>
        <v/>
      </c>
      <c r="K42" s="82" t="inlineStr">
        <is>
          <t>Yes</t>
        </is>
      </c>
    </row>
    <row r="43" ht="18.75" customHeight="1" s="55">
      <c r="A43" s="68" t="n">
        <v>39</v>
      </c>
      <c r="B43" s="80" t="inlineStr">
        <is>
          <t>DI841</t>
        </is>
      </c>
      <c r="C43" s="68" t="n">
        <v>1</v>
      </c>
      <c r="D43" s="80" t="inlineStr">
        <is>
          <t>LF</t>
        </is>
      </c>
      <c r="E43" s="61" t="inlineStr">
        <is>
          <t>Lost Follower</t>
        </is>
      </c>
      <c r="F43" s="80" t="inlineStr">
        <is>
          <t>04:19:42</t>
        </is>
      </c>
      <c r="G43" s="80" t="inlineStr">
        <is>
          <t>04:19:46</t>
        </is>
      </c>
      <c r="H43" s="80" t="inlineStr">
        <is>
          <t>00:00:04</t>
        </is>
      </c>
      <c r="I43" s="68" t="n">
        <v>4</v>
      </c>
      <c r="J43" s="68">
        <f>I43-4</f>
        <v/>
      </c>
      <c r="K43" s="80" t="inlineStr">
        <is>
          <t>Yes</t>
        </is>
      </c>
    </row>
    <row r="44" ht="18.75" customHeight="1" s="55">
      <c r="A44" s="71" t="n">
        <v>40</v>
      </c>
      <c r="B44" s="82" t="inlineStr">
        <is>
          <t>DI838</t>
        </is>
      </c>
      <c r="C44" s="71" t="n">
        <v>1</v>
      </c>
      <c r="D44" s="82" t="inlineStr">
        <is>
          <t>LF</t>
        </is>
      </c>
      <c r="E44" s="62" t="inlineStr">
        <is>
          <t>Lost Follower</t>
        </is>
      </c>
      <c r="F44" s="82" t="inlineStr">
        <is>
          <t>10:46:50</t>
        </is>
      </c>
      <c r="G44" s="82" t="inlineStr">
        <is>
          <t>10:47:07</t>
        </is>
      </c>
      <c r="H44" s="82" t="inlineStr">
        <is>
          <t>00:00:17</t>
        </is>
      </c>
      <c r="I44" s="71" t="n">
        <v>17</v>
      </c>
      <c r="J44" s="71">
        <f>I44-4</f>
        <v/>
      </c>
      <c r="K44" s="82" t="inlineStr">
        <is>
          <t>Yes</t>
        </is>
      </c>
    </row>
    <row r="45" ht="18.75" customHeight="1" s="55">
      <c r="A45" s="68" t="n">
        <v>41</v>
      </c>
      <c r="B45" s="80" t="inlineStr">
        <is>
          <t>DI838</t>
        </is>
      </c>
      <c r="C45" s="68" t="n">
        <v>2</v>
      </c>
      <c r="D45" s="80" t="inlineStr">
        <is>
          <t>RL</t>
        </is>
      </c>
      <c r="E45" s="61" t="inlineStr">
        <is>
          <t>Returning Leader</t>
        </is>
      </c>
      <c r="F45" s="80" t="inlineStr">
        <is>
          <t>10:47:55</t>
        </is>
      </c>
      <c r="G45" s="80" t="inlineStr">
        <is>
          <t>10:48:41</t>
        </is>
      </c>
      <c r="H45" s="80" t="inlineStr">
        <is>
          <t>00:00:46</t>
        </is>
      </c>
      <c r="I45" s="68" t="n">
        <v>46</v>
      </c>
      <c r="J45" s="68">
        <f>I45-4</f>
        <v/>
      </c>
      <c r="K45" s="80" t="inlineStr">
        <is>
          <t>Yes</t>
        </is>
      </c>
    </row>
    <row r="46" ht="18.75" customHeight="1" s="55">
      <c r="A46" s="71" t="n">
        <v>42</v>
      </c>
      <c r="B46" s="82" t="inlineStr">
        <is>
          <t>DI838</t>
        </is>
      </c>
      <c r="C46" s="71" t="n">
        <v>3</v>
      </c>
      <c r="D46" s="82" t="inlineStr">
        <is>
          <t>RL</t>
        </is>
      </c>
      <c r="E46" s="62" t="inlineStr">
        <is>
          <t>Returning Leader</t>
        </is>
      </c>
      <c r="F46" s="82" t="inlineStr">
        <is>
          <t>10:51:53</t>
        </is>
      </c>
      <c r="G46" s="82" t="inlineStr">
        <is>
          <t>10:52:02</t>
        </is>
      </c>
      <c r="H46" s="82" t="inlineStr">
        <is>
          <t>00:00:09</t>
        </is>
      </c>
      <c r="I46" s="71" t="n">
        <v>9</v>
      </c>
      <c r="J46" s="71">
        <f>I46-4</f>
        <v/>
      </c>
      <c r="K46" s="82" t="inlineStr">
        <is>
          <t>Yes</t>
        </is>
      </c>
    </row>
    <row r="47" ht="18.75" customHeight="1" s="55">
      <c r="A47" s="68" t="n">
        <v>43</v>
      </c>
      <c r="B47" s="80" t="inlineStr">
        <is>
          <t>DI838</t>
        </is>
      </c>
      <c r="C47" s="68" t="n">
        <v>4</v>
      </c>
      <c r="D47" s="80" t="inlineStr">
        <is>
          <t>RL</t>
        </is>
      </c>
      <c r="E47" s="61" t="inlineStr">
        <is>
          <t>Returning Leader</t>
        </is>
      </c>
      <c r="F47" s="80" t="inlineStr">
        <is>
          <t>10:51:27</t>
        </is>
      </c>
      <c r="G47" s="80" t="inlineStr">
        <is>
          <t>10:51:32</t>
        </is>
      </c>
      <c r="H47" s="80" t="inlineStr">
        <is>
          <t>00:00:05</t>
        </is>
      </c>
      <c r="I47" s="68" t="n">
        <v>5</v>
      </c>
      <c r="J47" s="68">
        <f>I47-4</f>
        <v/>
      </c>
      <c r="K47" s="80" t="inlineStr">
        <is>
          <t>Yes</t>
        </is>
      </c>
    </row>
    <row r="48" ht="18.75" customHeight="1" s="55">
      <c r="A48" s="71" t="n">
        <v>44</v>
      </c>
      <c r="B48" s="82" t="inlineStr">
        <is>
          <t>DI845</t>
        </is>
      </c>
      <c r="C48" s="71" t="n">
        <v>1</v>
      </c>
      <c r="D48" s="82" t="inlineStr">
        <is>
          <t>RL</t>
        </is>
      </c>
      <c r="E48" s="62" t="inlineStr">
        <is>
          <t>Returning Leader</t>
        </is>
      </c>
      <c r="F48" s="82" t="inlineStr">
        <is>
          <t>10:04:16</t>
        </is>
      </c>
      <c r="G48" s="82" t="inlineStr">
        <is>
          <t>10:04:38</t>
        </is>
      </c>
      <c r="H48" s="82" t="inlineStr">
        <is>
          <t>00:00:22</t>
        </is>
      </c>
      <c r="I48" s="71" t="n">
        <v>22</v>
      </c>
      <c r="J48" s="71">
        <f>I48-4</f>
        <v/>
      </c>
      <c r="K48" s="82" t="inlineStr">
        <is>
          <t>Yes</t>
        </is>
      </c>
    </row>
    <row r="49" ht="18.75" customHeight="1" s="55">
      <c r="A49" s="68" t="n">
        <v>45</v>
      </c>
      <c r="B49" s="80" t="inlineStr">
        <is>
          <t>DI845</t>
        </is>
      </c>
      <c r="C49" s="68" t="n">
        <v>2</v>
      </c>
      <c r="D49" s="80" t="inlineStr">
        <is>
          <t>LF(Gamergate)</t>
        </is>
      </c>
      <c r="E49" s="61" t="inlineStr">
        <is>
          <t>Lost Follower (Gamergate)</t>
        </is>
      </c>
      <c r="F49" s="80" t="inlineStr">
        <is>
          <t>10:06:08</t>
        </is>
      </c>
      <c r="G49" s="80" t="inlineStr">
        <is>
          <t>10:06:30</t>
        </is>
      </c>
      <c r="H49" s="80" t="inlineStr">
        <is>
          <t>00:00:22</t>
        </is>
      </c>
      <c r="I49" s="68" t="n">
        <v>22</v>
      </c>
      <c r="J49" s="68">
        <f>I49-4</f>
        <v/>
      </c>
      <c r="K49" s="80" t="inlineStr">
        <is>
          <t>Yes</t>
        </is>
      </c>
    </row>
    <row r="50" ht="18.75" customHeight="1" s="55">
      <c r="A50" s="71" t="n">
        <v>46</v>
      </c>
      <c r="B50" s="82" t="inlineStr">
        <is>
          <t>DI845</t>
        </is>
      </c>
      <c r="C50" s="71" t="n">
        <v>3</v>
      </c>
      <c r="D50" s="82" t="inlineStr">
        <is>
          <t>LF(Gamergate)</t>
        </is>
      </c>
      <c r="E50" s="62" t="inlineStr">
        <is>
          <t>Lost Follower (Gamergate)</t>
        </is>
      </c>
      <c r="F50" s="82" t="inlineStr">
        <is>
          <t>10:07:03</t>
        </is>
      </c>
      <c r="G50" s="82" t="inlineStr">
        <is>
          <t>10:07:42</t>
        </is>
      </c>
      <c r="H50" s="82" t="inlineStr">
        <is>
          <t>00:00:39</t>
        </is>
      </c>
      <c r="I50" s="71" t="n">
        <v>39</v>
      </c>
      <c r="J50" s="71">
        <f>I50-4</f>
        <v/>
      </c>
      <c r="K50" s="82" t="inlineStr">
        <is>
          <t>Yes</t>
        </is>
      </c>
    </row>
    <row r="51" ht="18.75" customHeight="1" s="55">
      <c r="A51" s="68" t="n">
        <v>47</v>
      </c>
      <c r="B51" s="80" t="inlineStr">
        <is>
          <t>DI845</t>
        </is>
      </c>
      <c r="C51" s="68" t="n">
        <v>4</v>
      </c>
      <c r="D51" s="80" t="inlineStr">
        <is>
          <t>RL</t>
        </is>
      </c>
      <c r="E51" s="61" t="inlineStr">
        <is>
          <t>Returning Leader</t>
        </is>
      </c>
      <c r="F51" s="80" t="inlineStr">
        <is>
          <t>10:12:31</t>
        </is>
      </c>
      <c r="G51" s="80" t="inlineStr">
        <is>
          <t>10:12:43</t>
        </is>
      </c>
      <c r="H51" s="80" t="inlineStr">
        <is>
          <t>00:00:12</t>
        </is>
      </c>
      <c r="I51" s="68" t="n">
        <v>12</v>
      </c>
      <c r="J51" s="68">
        <f>I51-4</f>
        <v/>
      </c>
      <c r="K51" s="80" t="inlineStr">
        <is>
          <t>Yes</t>
        </is>
      </c>
    </row>
    <row r="52" ht="18.75" customHeight="1" s="55">
      <c r="A52" s="71" t="n">
        <v>48</v>
      </c>
      <c r="B52" s="82" t="inlineStr">
        <is>
          <t>DI846</t>
        </is>
      </c>
      <c r="C52" s="71" t="n">
        <v>1</v>
      </c>
      <c r="D52" s="82" t="inlineStr">
        <is>
          <t>BT</t>
        </is>
      </c>
      <c r="E52" s="62" t="inlineStr">
        <is>
          <t>Brood Transporter</t>
        </is>
      </c>
      <c r="F52" s="82" t="inlineStr">
        <is>
          <t>02:37:51</t>
        </is>
      </c>
      <c r="G52" s="82" t="inlineStr">
        <is>
          <t>02:38:09</t>
        </is>
      </c>
      <c r="H52" s="82" t="inlineStr">
        <is>
          <t>00:00:18</t>
        </is>
      </c>
      <c r="I52" s="71" t="n">
        <v>18</v>
      </c>
      <c r="J52" s="71">
        <f>I52-4</f>
        <v/>
      </c>
      <c r="K52" s="82" t="inlineStr">
        <is>
          <t>Yes</t>
        </is>
      </c>
    </row>
    <row r="53" ht="18.75" customHeight="1" s="55">
      <c r="A53" s="68" t="n">
        <v>49</v>
      </c>
      <c r="B53" s="80" t="inlineStr">
        <is>
          <t>DI846</t>
        </is>
      </c>
      <c r="C53" s="68" t="n">
        <v>2</v>
      </c>
      <c r="D53" s="80" t="inlineStr">
        <is>
          <t>RL</t>
        </is>
      </c>
      <c r="E53" s="61" t="inlineStr">
        <is>
          <t>Returning Leader</t>
        </is>
      </c>
      <c r="F53" s="80" t="inlineStr">
        <is>
          <t>02:40:50</t>
        </is>
      </c>
      <c r="G53" s="80" t="inlineStr">
        <is>
          <t>02:40:54</t>
        </is>
      </c>
      <c r="H53" s="80" t="inlineStr">
        <is>
          <t>00:00:04</t>
        </is>
      </c>
      <c r="I53" s="68" t="n">
        <v>4</v>
      </c>
      <c r="J53" s="68">
        <f>I53-4</f>
        <v/>
      </c>
      <c r="K53" s="80" t="inlineStr">
        <is>
          <t>Yes</t>
        </is>
      </c>
    </row>
    <row r="54" ht="18.75" customHeight="1" s="55">
      <c r="A54" s="71" t="n">
        <v>50</v>
      </c>
      <c r="B54" s="82" t="inlineStr">
        <is>
          <t>DI846</t>
        </is>
      </c>
      <c r="C54" s="71" t="n">
        <v>3</v>
      </c>
      <c r="D54" s="82" t="inlineStr">
        <is>
          <t>RL</t>
        </is>
      </c>
      <c r="E54" s="62" t="inlineStr">
        <is>
          <t>Returning Leader</t>
        </is>
      </c>
      <c r="F54" s="82" t="inlineStr">
        <is>
          <t>02:42:47</t>
        </is>
      </c>
      <c r="G54" s="82" t="inlineStr">
        <is>
          <t>02:42:56</t>
        </is>
      </c>
      <c r="H54" s="82" t="inlineStr">
        <is>
          <t>00:00:09</t>
        </is>
      </c>
      <c r="I54" s="71" t="n">
        <v>9</v>
      </c>
      <c r="J54" s="71">
        <f>I54-4</f>
        <v/>
      </c>
      <c r="K54" s="82" t="inlineStr">
        <is>
          <t>Yes</t>
        </is>
      </c>
    </row>
    <row r="55" ht="18.75" customHeight="1" s="55">
      <c r="A55" s="68" t="n">
        <v>51</v>
      </c>
      <c r="B55" s="80" t="inlineStr">
        <is>
          <t>DI846</t>
        </is>
      </c>
      <c r="C55" s="68" t="n">
        <v>4</v>
      </c>
      <c r="D55" s="80" t="inlineStr">
        <is>
          <t>RL</t>
        </is>
      </c>
      <c r="E55" s="61" t="inlineStr">
        <is>
          <t>Returning Leader</t>
        </is>
      </c>
      <c r="F55" s="80" t="inlineStr">
        <is>
          <t>02:56:15</t>
        </is>
      </c>
      <c r="G55" s="80" t="inlineStr">
        <is>
          <t>02:56:30</t>
        </is>
      </c>
      <c r="H55" s="80" t="inlineStr">
        <is>
          <t>00:00:15</t>
        </is>
      </c>
      <c r="I55" s="68" t="n">
        <v>15</v>
      </c>
      <c r="J55" s="68">
        <f>I55-4</f>
        <v/>
      </c>
      <c r="K55" s="80" t="inlineStr">
        <is>
          <t>Yes</t>
        </is>
      </c>
    </row>
    <row r="56" ht="18.75" customHeight="1" s="55">
      <c r="A56" s="71" t="n">
        <v>52</v>
      </c>
      <c r="B56" s="82" t="inlineStr">
        <is>
          <t>DI846</t>
        </is>
      </c>
      <c r="C56" s="71" t="n">
        <v>5</v>
      </c>
      <c r="D56" s="82" t="inlineStr">
        <is>
          <t>RL</t>
        </is>
      </c>
      <c r="E56" s="62" t="inlineStr">
        <is>
          <t>Returning Leader</t>
        </is>
      </c>
      <c r="F56" s="82" t="inlineStr">
        <is>
          <t>02:57:31</t>
        </is>
      </c>
      <c r="G56" s="82" t="inlineStr">
        <is>
          <t>02:57:48</t>
        </is>
      </c>
      <c r="H56" s="82" t="inlineStr">
        <is>
          <t>00:00:17</t>
        </is>
      </c>
      <c r="I56" s="71" t="n">
        <v>17</v>
      </c>
      <c r="J56" s="71">
        <f>I56-4</f>
        <v/>
      </c>
      <c r="K56" s="82" t="inlineStr">
        <is>
          <t>Yes</t>
        </is>
      </c>
    </row>
    <row r="57" ht="18.75" customHeight="1" s="55">
      <c r="A57" s="68" t="n">
        <v>53</v>
      </c>
      <c r="B57" s="80" t="inlineStr">
        <is>
          <t>DI849</t>
        </is>
      </c>
      <c r="C57" s="68" t="n">
        <v>1</v>
      </c>
      <c r="D57" s="80" t="inlineStr">
        <is>
          <t>RL</t>
        </is>
      </c>
      <c r="E57" s="61" t="inlineStr">
        <is>
          <t>Returning Leader</t>
        </is>
      </c>
      <c r="F57" s="80" t="inlineStr">
        <is>
          <t>01:48:52</t>
        </is>
      </c>
      <c r="G57" s="80" t="inlineStr">
        <is>
          <t>01:49:02</t>
        </is>
      </c>
      <c r="H57" s="80" t="inlineStr">
        <is>
          <t>00:00:10</t>
        </is>
      </c>
      <c r="I57" s="68" t="n">
        <v>10</v>
      </c>
      <c r="J57" s="68">
        <f>I57-4</f>
        <v/>
      </c>
      <c r="K57" s="80" t="inlineStr">
        <is>
          <t>Yes</t>
        </is>
      </c>
    </row>
    <row r="58" ht="18.75" customHeight="1" s="55">
      <c r="A58" s="71" t="n">
        <v>54</v>
      </c>
      <c r="B58" s="82" t="inlineStr">
        <is>
          <t>DI849</t>
        </is>
      </c>
      <c r="C58" s="71" t="n">
        <v>2</v>
      </c>
      <c r="D58" s="82" t="inlineStr">
        <is>
          <t>BT</t>
        </is>
      </c>
      <c r="E58" s="62" t="inlineStr">
        <is>
          <t>Brood Transporter</t>
        </is>
      </c>
      <c r="F58" s="82" t="inlineStr">
        <is>
          <t>01:52:57</t>
        </is>
      </c>
      <c r="G58" s="82" t="inlineStr">
        <is>
          <t>01:53:07</t>
        </is>
      </c>
      <c r="H58" s="82" t="inlineStr">
        <is>
          <t>00:00:10</t>
        </is>
      </c>
      <c r="I58" s="71" t="n">
        <v>10</v>
      </c>
      <c r="J58" s="71">
        <f>I58-4</f>
        <v/>
      </c>
      <c r="K58" s="82" t="inlineStr">
        <is>
          <t>Yes</t>
        </is>
      </c>
    </row>
    <row r="59" ht="18.75" customHeight="1" s="55">
      <c r="A59" s="68" t="n">
        <v>55</v>
      </c>
      <c r="B59" s="80" t="inlineStr">
        <is>
          <t>DI849</t>
        </is>
      </c>
      <c r="C59" s="68" t="n">
        <v>3</v>
      </c>
      <c r="D59" s="80" t="inlineStr">
        <is>
          <t>BT</t>
        </is>
      </c>
      <c r="E59" s="61" t="inlineStr">
        <is>
          <t>Brood Transporter</t>
        </is>
      </c>
      <c r="F59" s="80" t="inlineStr">
        <is>
          <t>01:53:31</t>
        </is>
      </c>
      <c r="G59" s="80" t="inlineStr">
        <is>
          <t>01:53:43</t>
        </is>
      </c>
      <c r="H59" s="80" t="inlineStr">
        <is>
          <t>00:00:12</t>
        </is>
      </c>
      <c r="I59" s="68" t="n">
        <v>12</v>
      </c>
      <c r="J59" s="68">
        <f>I59-4</f>
        <v/>
      </c>
      <c r="K59" s="80" t="inlineStr">
        <is>
          <t>Yes</t>
        </is>
      </c>
    </row>
    <row r="60" ht="18.75" customHeight="1" s="55">
      <c r="A60" s="71" t="n">
        <v>56</v>
      </c>
      <c r="B60" s="82" t="inlineStr">
        <is>
          <t>DI849</t>
        </is>
      </c>
      <c r="C60" s="71" t="n">
        <v>4</v>
      </c>
      <c r="D60" s="82" t="inlineStr">
        <is>
          <t>BT</t>
        </is>
      </c>
      <c r="E60" s="62" t="inlineStr">
        <is>
          <t>Brood Transporter</t>
        </is>
      </c>
      <c r="F60" s="82" t="inlineStr">
        <is>
          <t>01:56:48</t>
        </is>
      </c>
      <c r="G60" s="82" t="inlineStr">
        <is>
          <t>01:57:02</t>
        </is>
      </c>
      <c r="H60" s="82" t="inlineStr">
        <is>
          <t>00:00:14</t>
        </is>
      </c>
      <c r="I60" s="71" t="n">
        <v>14</v>
      </c>
      <c r="J60" s="71">
        <f>I60-4</f>
        <v/>
      </c>
      <c r="K60" s="82" t="inlineStr">
        <is>
          <t>Yes</t>
        </is>
      </c>
    </row>
    <row r="61" ht="21.75" customHeight="1" s="55">
      <c r="A61" s="93" t="inlineStr">
        <is>
          <t>Average</t>
        </is>
      </c>
      <c r="B61" s="94" t="n"/>
      <c r="C61" s="94" t="n"/>
      <c r="D61" s="94" t="n"/>
      <c r="E61" s="94" t="n"/>
      <c r="F61" s="94" t="n"/>
      <c r="G61" s="94" t="n"/>
      <c r="H61" s="94" t="n"/>
      <c r="I61" s="95">
        <f>AVERAGE(I5:I60)</f>
        <v/>
      </c>
      <c r="J61" s="95">
        <f>AVERAGE(J5:J60)</f>
        <v/>
      </c>
      <c r="K61" s="96">
        <f>COUNTIF(K5:K60,"Yes")/56</f>
        <v/>
      </c>
    </row>
  </sheetData>
  <mergeCells count="3">
    <mergeCell ref="A2:K2"/>
    <mergeCell ref="A1:K1"/>
    <mergeCell ref="M4:P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9" customWidth="1" style="54" min="1" max="1"/>
    <col width="15" customWidth="1" style="54" min="2" max="2"/>
    <col width="12" customWidth="1" style="54" min="3" max="12"/>
    <col width="14" customWidth="1" style="54" min="13" max="13"/>
  </cols>
  <sheetData>
    <row r="1" ht="27.75" customHeight="1" s="55">
      <c r="A1" s="65" t="inlineStr">
        <is>
          <t>TEMPORAL OCCURRENCE OF TRAFFIC JAMS ACROSS RELOCATION PROGRESS (DECILES 0-10% TO 91-100%)</t>
        </is>
      </c>
    </row>
    <row r="2" ht="18" customHeight="1" s="55">
      <c r="A2" s="66" t="inlineStr">
        <is>
          <t>Normalized transport time deciles. Demonstrates that jams concentrate during mid-relocation (mean peak = 58.6% of elapsed time).</t>
        </is>
      </c>
    </row>
    <row r="4" ht="27.75" customHeight="1" s="55">
      <c r="A4" s="67" t="inlineStr">
        <is>
          <t>Colony ID</t>
        </is>
      </c>
      <c r="B4" s="67" t="inlineStr">
        <is>
          <t>Colony Size</t>
        </is>
      </c>
      <c r="C4" s="67" t="inlineStr">
        <is>
          <t>0-10%</t>
        </is>
      </c>
      <c r="D4" s="67" t="inlineStr">
        <is>
          <t>11-20%</t>
        </is>
      </c>
      <c r="E4" s="67" t="inlineStr">
        <is>
          <t>21-30%</t>
        </is>
      </c>
      <c r="F4" s="67" t="inlineStr">
        <is>
          <t>31-40%</t>
        </is>
      </c>
      <c r="G4" s="67" t="inlineStr">
        <is>
          <t>41-50%</t>
        </is>
      </c>
      <c r="H4" s="67" t="inlineStr">
        <is>
          <t>51-60%</t>
        </is>
      </c>
      <c r="I4" s="67" t="inlineStr">
        <is>
          <t>61-70%</t>
        </is>
      </c>
      <c r="J4" s="67" t="inlineStr">
        <is>
          <t>71-80%</t>
        </is>
      </c>
      <c r="K4" s="67" t="inlineStr">
        <is>
          <t>81-90%</t>
        </is>
      </c>
      <c r="L4" s="67" t="inlineStr">
        <is>
          <t>91-100%</t>
        </is>
      </c>
      <c r="M4" s="67" t="inlineStr">
        <is>
          <t>Total Jams</t>
        </is>
      </c>
    </row>
    <row r="5" ht="18.75" customHeight="1" s="55">
      <c r="A5" s="61" t="inlineStr">
        <is>
          <t>DI831</t>
        </is>
      </c>
      <c r="B5" s="68" t="n">
        <v>54</v>
      </c>
      <c r="C5" s="68" t="n">
        <v>0</v>
      </c>
      <c r="D5" s="68" t="n">
        <v>0</v>
      </c>
      <c r="E5" s="68" t="n">
        <v>0</v>
      </c>
      <c r="F5" s="68" t="n">
        <v>0</v>
      </c>
      <c r="G5" s="68" t="n">
        <v>0</v>
      </c>
      <c r="H5" s="68" t="n">
        <v>0</v>
      </c>
      <c r="I5" s="68" t="n">
        <v>0</v>
      </c>
      <c r="J5" s="68" t="n">
        <v>0</v>
      </c>
      <c r="K5" s="68" t="n">
        <v>0</v>
      </c>
      <c r="L5" s="68" t="n">
        <v>1</v>
      </c>
      <c r="M5" s="68">
        <f>SUM(C5:L5)</f>
        <v/>
      </c>
    </row>
    <row r="6" ht="18.75" customHeight="1" s="55">
      <c r="A6" s="62" t="inlineStr">
        <is>
          <t>DI832</t>
        </is>
      </c>
      <c r="B6" s="71" t="n">
        <v>90</v>
      </c>
      <c r="C6" s="71" t="n">
        <v>1</v>
      </c>
      <c r="D6" s="71" t="n">
        <v>0</v>
      </c>
      <c r="E6" s="71" t="n">
        <v>0</v>
      </c>
      <c r="F6" s="71" t="n">
        <v>1</v>
      </c>
      <c r="G6" s="71" t="n">
        <v>0</v>
      </c>
      <c r="H6" s="71" t="n">
        <v>0</v>
      </c>
      <c r="I6" s="71" t="n">
        <v>1</v>
      </c>
      <c r="J6" s="71" t="n">
        <v>1</v>
      </c>
      <c r="K6" s="71" t="n">
        <v>0</v>
      </c>
      <c r="L6" s="71" t="n">
        <v>0</v>
      </c>
      <c r="M6" s="71">
        <f>SUM(C6:L6)</f>
        <v/>
      </c>
    </row>
    <row r="7" ht="18.75" customHeight="1" s="55">
      <c r="A7" s="61" t="inlineStr">
        <is>
          <t>DI833</t>
        </is>
      </c>
      <c r="B7" s="68" t="n">
        <v>110</v>
      </c>
      <c r="C7" s="68" t="n">
        <v>0</v>
      </c>
      <c r="D7" s="68" t="n">
        <v>0</v>
      </c>
      <c r="E7" s="68" t="n">
        <v>4</v>
      </c>
      <c r="F7" s="68" t="n">
        <v>1</v>
      </c>
      <c r="G7" s="68" t="n">
        <v>1</v>
      </c>
      <c r="H7" s="68" t="n">
        <v>2</v>
      </c>
      <c r="I7" s="68" t="n">
        <v>2</v>
      </c>
      <c r="J7" s="68" t="n">
        <v>0</v>
      </c>
      <c r="K7" s="68" t="n">
        <v>1</v>
      </c>
      <c r="L7" s="68" t="n">
        <v>0</v>
      </c>
      <c r="M7" s="68">
        <f>SUM(C7:L7)</f>
        <v/>
      </c>
    </row>
    <row r="8" ht="18.75" customHeight="1" s="55">
      <c r="A8" s="62" t="inlineStr">
        <is>
          <t>DI834</t>
        </is>
      </c>
      <c r="B8" s="71" t="n">
        <v>57</v>
      </c>
      <c r="C8" s="71" t="n">
        <v>0</v>
      </c>
      <c r="D8" s="71" t="n">
        <v>0</v>
      </c>
      <c r="E8" s="71" t="n">
        <v>1</v>
      </c>
      <c r="F8" s="71" t="n">
        <v>0</v>
      </c>
      <c r="G8" s="71" t="n">
        <v>0</v>
      </c>
      <c r="H8" s="71" t="n">
        <v>0</v>
      </c>
      <c r="I8" s="71" t="n">
        <v>1</v>
      </c>
      <c r="J8" s="71" t="n">
        <v>0</v>
      </c>
      <c r="K8" s="71" t="n">
        <v>2</v>
      </c>
      <c r="L8" s="71" t="n">
        <v>0</v>
      </c>
      <c r="M8" s="71">
        <f>SUM(C8:L8)</f>
        <v/>
      </c>
    </row>
    <row r="9" ht="18.75" customHeight="1" s="55">
      <c r="A9" s="61" t="inlineStr">
        <is>
          <t>DI835</t>
        </is>
      </c>
      <c r="B9" s="68" t="n">
        <v>73</v>
      </c>
      <c r="C9" s="68" t="n">
        <v>0</v>
      </c>
      <c r="D9" s="68" t="n">
        <v>0</v>
      </c>
      <c r="E9" s="68" t="n">
        <v>0</v>
      </c>
      <c r="F9" s="68" t="n">
        <v>0</v>
      </c>
      <c r="G9" s="68" t="n">
        <v>1</v>
      </c>
      <c r="H9" s="68" t="n">
        <v>1</v>
      </c>
      <c r="I9" s="68" t="n">
        <v>2</v>
      </c>
      <c r="J9" s="68" t="n">
        <v>0</v>
      </c>
      <c r="K9" s="68" t="n">
        <v>0</v>
      </c>
      <c r="L9" s="68" t="n">
        <v>0</v>
      </c>
      <c r="M9" s="68">
        <f>SUM(C9:L9)</f>
        <v/>
      </c>
    </row>
    <row r="10" ht="18.75" customHeight="1" s="55">
      <c r="A10" s="62" t="inlineStr">
        <is>
          <t>DI836</t>
        </is>
      </c>
      <c r="B10" s="71" t="n">
        <v>160</v>
      </c>
      <c r="C10" s="71" t="n">
        <v>1</v>
      </c>
      <c r="D10" s="71" t="n">
        <v>0</v>
      </c>
      <c r="E10" s="71" t="n">
        <v>1</v>
      </c>
      <c r="F10" s="71" t="n">
        <v>1</v>
      </c>
      <c r="G10" s="71" t="n">
        <v>3</v>
      </c>
      <c r="H10" s="71" t="n">
        <v>1</v>
      </c>
      <c r="I10" s="71" t="n">
        <v>1</v>
      </c>
      <c r="J10" s="71" t="n">
        <v>1</v>
      </c>
      <c r="K10" s="71" t="n">
        <v>1</v>
      </c>
      <c r="L10" s="71" t="n">
        <v>1</v>
      </c>
      <c r="M10" s="71">
        <f>SUM(C10:L10)</f>
        <v/>
      </c>
    </row>
    <row r="11" ht="18.75" customHeight="1" s="55">
      <c r="A11" s="61" t="inlineStr">
        <is>
          <t>DI837</t>
        </is>
      </c>
      <c r="B11" s="68" t="n">
        <v>79</v>
      </c>
      <c r="C11" s="68" t="n">
        <v>0</v>
      </c>
      <c r="D11" s="68" t="n">
        <v>0</v>
      </c>
      <c r="E11" s="68" t="n">
        <v>0</v>
      </c>
      <c r="F11" s="68" t="n">
        <v>0</v>
      </c>
      <c r="G11" s="68" t="n">
        <v>1</v>
      </c>
      <c r="H11" s="68" t="n">
        <v>1</v>
      </c>
      <c r="I11" s="68" t="n">
        <v>1</v>
      </c>
      <c r="J11" s="68" t="n">
        <v>0</v>
      </c>
      <c r="K11" s="68" t="n">
        <v>0</v>
      </c>
      <c r="L11" s="68" t="n">
        <v>1</v>
      </c>
      <c r="M11" s="68">
        <f>SUM(C11:L11)</f>
        <v/>
      </c>
    </row>
    <row r="12" ht="18.75" customHeight="1" s="55">
      <c r="A12" s="62" t="inlineStr">
        <is>
          <t>DI841</t>
        </is>
      </c>
      <c r="B12" s="71" t="n">
        <v>76</v>
      </c>
      <c r="C12" s="71" t="n">
        <v>0</v>
      </c>
      <c r="D12" s="71" t="n">
        <v>0</v>
      </c>
      <c r="E12" s="71" t="n">
        <v>0</v>
      </c>
      <c r="F12" s="71" t="n">
        <v>0</v>
      </c>
      <c r="G12" s="71" t="n">
        <v>0</v>
      </c>
      <c r="H12" s="71" t="n">
        <v>0</v>
      </c>
      <c r="I12" s="71" t="n">
        <v>1</v>
      </c>
      <c r="J12" s="71" t="n">
        <v>0</v>
      </c>
      <c r="K12" s="71" t="n">
        <v>0</v>
      </c>
      <c r="L12" s="71" t="n">
        <v>0</v>
      </c>
      <c r="M12" s="71">
        <f>SUM(C12:L12)</f>
        <v/>
      </c>
    </row>
    <row r="13" ht="18.75" customHeight="1" s="55">
      <c r="A13" s="61" t="inlineStr">
        <is>
          <t>DI838</t>
        </is>
      </c>
      <c r="B13" s="68" t="n">
        <v>68</v>
      </c>
      <c r="C13" s="68" t="n">
        <v>0</v>
      </c>
      <c r="D13" s="68" t="n">
        <v>0</v>
      </c>
      <c r="E13" s="68" t="n">
        <v>0</v>
      </c>
      <c r="F13" s="68" t="n">
        <v>0</v>
      </c>
      <c r="G13" s="68" t="n">
        <v>0</v>
      </c>
      <c r="H13" s="68" t="n">
        <v>0</v>
      </c>
      <c r="I13" s="68" t="n">
        <v>0</v>
      </c>
      <c r="J13" s="68" t="n">
        <v>1</v>
      </c>
      <c r="K13" s="68" t="n">
        <v>1</v>
      </c>
      <c r="L13" s="68" t="n">
        <v>2</v>
      </c>
      <c r="M13" s="68">
        <f>SUM(C13:L13)</f>
        <v/>
      </c>
    </row>
    <row r="14" ht="18.75" customHeight="1" s="55">
      <c r="A14" s="62" t="inlineStr">
        <is>
          <t>DI845</t>
        </is>
      </c>
      <c r="B14" s="71" t="n">
        <v>56</v>
      </c>
      <c r="C14" s="71" t="n">
        <v>0</v>
      </c>
      <c r="D14" s="71" t="n">
        <v>0</v>
      </c>
      <c r="E14" s="71" t="n">
        <v>0</v>
      </c>
      <c r="F14" s="71" t="n">
        <v>0</v>
      </c>
      <c r="G14" s="71" t="n">
        <v>1</v>
      </c>
      <c r="H14" s="71" t="n">
        <v>2</v>
      </c>
      <c r="I14" s="71" t="n">
        <v>0</v>
      </c>
      <c r="J14" s="71" t="n">
        <v>0</v>
      </c>
      <c r="K14" s="71" t="n">
        <v>0</v>
      </c>
      <c r="L14" s="71" t="n">
        <v>1</v>
      </c>
      <c r="M14" s="71">
        <f>SUM(C14:L14)</f>
        <v/>
      </c>
    </row>
    <row r="15" ht="18.75" customHeight="1" s="55">
      <c r="A15" s="61" t="inlineStr">
        <is>
          <t>DI846</t>
        </is>
      </c>
      <c r="B15" s="68" t="n">
        <v>130</v>
      </c>
      <c r="C15" s="68" t="n">
        <v>0</v>
      </c>
      <c r="D15" s="68" t="n">
        <v>0</v>
      </c>
      <c r="E15" s="68" t="n">
        <v>2</v>
      </c>
      <c r="F15" s="68" t="n">
        <v>0</v>
      </c>
      <c r="G15" s="68" t="n">
        <v>1</v>
      </c>
      <c r="H15" s="68" t="n">
        <v>0</v>
      </c>
      <c r="I15" s="68" t="n">
        <v>0</v>
      </c>
      <c r="J15" s="68" t="n">
        <v>0</v>
      </c>
      <c r="K15" s="68" t="n">
        <v>1</v>
      </c>
      <c r="L15" s="68" t="n">
        <v>1</v>
      </c>
      <c r="M15" s="68">
        <f>SUM(C15:L15)</f>
        <v/>
      </c>
    </row>
    <row r="16" ht="18.75" customHeight="1" s="55">
      <c r="A16" s="62" t="inlineStr">
        <is>
          <t>DI849</t>
        </is>
      </c>
      <c r="B16" s="71" t="n">
        <v>92</v>
      </c>
      <c r="C16" s="71" t="n">
        <v>0</v>
      </c>
      <c r="D16" s="71" t="n">
        <v>0</v>
      </c>
      <c r="E16" s="71" t="n">
        <v>0</v>
      </c>
      <c r="F16" s="71" t="n">
        <v>1</v>
      </c>
      <c r="G16" s="71" t="n">
        <v>0</v>
      </c>
      <c r="H16" s="71" t="n">
        <v>2</v>
      </c>
      <c r="I16" s="71" t="n">
        <v>0</v>
      </c>
      <c r="J16" s="71" t="n">
        <v>1</v>
      </c>
      <c r="K16" s="71" t="n">
        <v>0</v>
      </c>
      <c r="L16" s="71" t="n">
        <v>0</v>
      </c>
      <c r="M16" s="71">
        <f>SUM(C16:L16)</f>
        <v/>
      </c>
    </row>
    <row r="17" ht="19.5" customHeight="1" s="55">
      <c r="A17" s="97" t="inlineStr">
        <is>
          <t>Total Jams</t>
        </is>
      </c>
      <c r="B17" s="76" t="inlineStr">
        <is>
          <t>--</t>
        </is>
      </c>
      <c r="C17" s="98">
        <f>SUM(C5:C16)</f>
        <v/>
      </c>
      <c r="D17" s="98">
        <f>SUM(D5:D16)</f>
        <v/>
      </c>
      <c r="E17" s="98">
        <f>SUM(E5:E16)</f>
        <v/>
      </c>
      <c r="F17" s="98">
        <f>SUM(F5:F16)</f>
        <v/>
      </c>
      <c r="G17" s="98">
        <f>SUM(G5:G16)</f>
        <v/>
      </c>
      <c r="H17" s="98">
        <f>SUM(H5:H16)</f>
        <v/>
      </c>
      <c r="I17" s="98">
        <f>SUM(I5:I16)</f>
        <v/>
      </c>
      <c r="J17" s="98">
        <f>SUM(J5:J16)</f>
        <v/>
      </c>
      <c r="K17" s="98">
        <f>SUM(K5:K16)</f>
        <v/>
      </c>
      <c r="L17" s="98">
        <f>SUM(L5:L16)</f>
        <v/>
      </c>
      <c r="M17" s="98">
        <f>SUM(M5:M16)</f>
        <v/>
      </c>
    </row>
    <row r="18" ht="19.5" customHeight="1" s="55">
      <c r="A18" s="97" t="inlineStr">
        <is>
          <t>% of Total Jams</t>
        </is>
      </c>
      <c r="B18" s="76" t="inlineStr">
        <is>
          <t>--</t>
        </is>
      </c>
      <c r="C18" s="99">
        <f>C17/$M$17</f>
        <v/>
      </c>
      <c r="D18" s="99">
        <f>D17/$M$17</f>
        <v/>
      </c>
      <c r="E18" s="99">
        <f>E17/$M$17</f>
        <v/>
      </c>
      <c r="F18" s="99">
        <f>F17/$M$17</f>
        <v/>
      </c>
      <c r="G18" s="99">
        <f>G17/$M$17</f>
        <v/>
      </c>
      <c r="H18" s="99">
        <f>H17/$M$17</f>
        <v/>
      </c>
      <c r="I18" s="99">
        <f>I17/$M$17</f>
        <v/>
      </c>
      <c r="J18" s="99">
        <f>J17/$M$17</f>
        <v/>
      </c>
      <c r="K18" s="99">
        <f>K17/$M$17</f>
        <v/>
      </c>
      <c r="L18" s="99">
        <f>L17/$M$17</f>
        <v/>
      </c>
      <c r="M18" s="99">
        <f>SUM(C18:L18)</f>
        <v/>
      </c>
    </row>
  </sheetData>
  <mergeCells count="2">
    <mergeCell ref="A2:M2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3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3" customWidth="1" style="54" min="1" max="1"/>
    <col width="21" customWidth="1" style="54" min="2" max="2"/>
    <col width="27" customWidth="1" style="54" min="3" max="3"/>
    <col width="24" customWidth="1" style="54" min="4" max="5"/>
    <col width="19" customWidth="1" style="54" min="6" max="6"/>
    <col width="27" customWidth="1" style="54" min="7" max="7"/>
    <col width="24" customWidth="1" style="54" min="8" max="8"/>
    <col width="35" customWidth="1" style="54" min="9" max="9"/>
  </cols>
  <sheetData>
    <row r="1" ht="27.75" customHeight="1" s="55">
      <c r="A1" s="65" t="inlineStr">
        <is>
          <t>TIME-SERIES ANT TRAFFIC HEADING DIRECTION AND POLAR ALIGNMENT (N = 348 OBSERVATIONS)</t>
        </is>
      </c>
    </row>
    <row r="2" ht="18" customHeight="1" s="55">
      <c r="A2" s="66" t="inlineStr">
        <is>
          <t>Snapshot observations of traffic heading directions in the central 30 cm focal window during one-lane bottleneck relocation trials.</t>
        </is>
      </c>
    </row>
    <row r="4" ht="27.75" customHeight="1" s="55">
      <c r="A4" s="67" t="inlineStr">
        <is>
          <t>Colony ID</t>
        </is>
      </c>
      <c r="B4" s="67" t="inlineStr">
        <is>
          <t>Observation Index</t>
        </is>
      </c>
      <c r="C4" s="67" t="inlineStr">
        <is>
          <t>Timestamp Raw (h:mm:ss)</t>
        </is>
      </c>
      <c r="D4" s="67" t="inlineStr">
        <is>
          <t>Toward New Nest (+x)</t>
        </is>
      </c>
      <c r="E4" s="67" t="inlineStr">
        <is>
          <t>Toward Old Nest (-x)</t>
        </is>
      </c>
      <c r="F4" s="67" t="inlineStr">
        <is>
          <t>Other Direction</t>
        </is>
      </c>
      <c r="G4" s="67" t="inlineStr">
        <is>
          <t>Total Ants (Focal Area)</t>
        </is>
      </c>
      <c r="H4" s="67" t="inlineStr">
        <is>
          <t>Proportion Toward NN</t>
        </is>
      </c>
      <c r="I4" s="67" t="inlineStr">
        <is>
          <t>Net Polar Order Parameter (Phi)</t>
        </is>
      </c>
    </row>
    <row r="5" ht="18" customHeight="1" s="55">
      <c r="A5" s="85" t="inlineStr">
        <is>
          <t>DI831</t>
        </is>
      </c>
      <c r="B5" s="83" t="n">
        <v>1</v>
      </c>
      <c r="C5" s="85" t="inlineStr">
        <is>
          <t>06:43:03</t>
        </is>
      </c>
      <c r="D5" s="83" t="n">
        <v>2</v>
      </c>
      <c r="E5" s="83" t="n">
        <v>1</v>
      </c>
      <c r="F5" s="83" t="n">
        <v>0</v>
      </c>
      <c r="G5" s="83">
        <f>D5+E5+F5</f>
        <v/>
      </c>
      <c r="H5" s="100">
        <f>IF(G5&gt;0, D5/G5, 0)</f>
        <v/>
      </c>
      <c r="I5" s="101">
        <f>IF(G5&gt;0, (D5-E5)/G5, 0)</f>
        <v/>
      </c>
    </row>
    <row r="6" ht="18" customHeight="1" s="55">
      <c r="A6" s="88" t="inlineStr">
        <is>
          <t>DI831</t>
        </is>
      </c>
      <c r="B6" s="86" t="n">
        <v>2</v>
      </c>
      <c r="C6" s="88" t="inlineStr">
        <is>
          <t>06:44:38</t>
        </is>
      </c>
      <c r="D6" s="86" t="n">
        <v>1</v>
      </c>
      <c r="E6" s="86" t="n">
        <v>1</v>
      </c>
      <c r="F6" s="86" t="n">
        <v>0</v>
      </c>
      <c r="G6" s="86">
        <f>D6+E6+F6</f>
        <v/>
      </c>
      <c r="H6" s="102">
        <f>IF(G6&gt;0, D6/G6, 0)</f>
        <v/>
      </c>
      <c r="I6" s="103">
        <f>IF(G6&gt;0, (D6-E6)/G6, 0)</f>
        <v/>
      </c>
    </row>
    <row r="7" ht="18" customHeight="1" s="55">
      <c r="A7" s="85" t="inlineStr">
        <is>
          <t>DI831</t>
        </is>
      </c>
      <c r="B7" s="83" t="n">
        <v>3</v>
      </c>
      <c r="C7" s="85" t="inlineStr">
        <is>
          <t>06:44:56</t>
        </is>
      </c>
      <c r="D7" s="83" t="n">
        <v>3</v>
      </c>
      <c r="E7" s="83" t="n">
        <v>2</v>
      </c>
      <c r="F7" s="83" t="n">
        <v>1</v>
      </c>
      <c r="G7" s="83">
        <f>D7+E7+F7</f>
        <v/>
      </c>
      <c r="H7" s="100">
        <f>IF(G7&gt;0, D7/G7, 0)</f>
        <v/>
      </c>
      <c r="I7" s="101">
        <f>IF(G7&gt;0, (D7-E7)/G7, 0)</f>
        <v/>
      </c>
    </row>
    <row r="8" ht="18" customHeight="1" s="55">
      <c r="A8" s="88" t="inlineStr">
        <is>
          <t>DI831</t>
        </is>
      </c>
      <c r="B8" s="86" t="n">
        <v>4</v>
      </c>
      <c r="C8" s="88" t="inlineStr">
        <is>
          <t>06:45:56</t>
        </is>
      </c>
      <c r="D8" s="86" t="n">
        <v>0</v>
      </c>
      <c r="E8" s="86" t="n">
        <v>0</v>
      </c>
      <c r="F8" s="86" t="n">
        <v>0</v>
      </c>
      <c r="G8" s="86">
        <f>D8+E8+F8</f>
        <v/>
      </c>
      <c r="H8" s="102">
        <f>IF(G8&gt;0, D8/G8, 0)</f>
        <v/>
      </c>
      <c r="I8" s="103">
        <f>IF(G8&gt;0, (D8-E8)/G8, 0)</f>
        <v/>
      </c>
    </row>
    <row r="9" ht="18" customHeight="1" s="55">
      <c r="A9" s="85" t="inlineStr">
        <is>
          <t>DI831</t>
        </is>
      </c>
      <c r="B9" s="83" t="n">
        <v>5</v>
      </c>
      <c r="C9" s="85" t="inlineStr">
        <is>
          <t>06:46:48</t>
        </is>
      </c>
      <c r="D9" s="83" t="n">
        <v>0</v>
      </c>
      <c r="E9" s="83" t="n">
        <v>0</v>
      </c>
      <c r="F9" s="83" t="n">
        <v>0</v>
      </c>
      <c r="G9" s="83">
        <f>D9+E9+F9</f>
        <v/>
      </c>
      <c r="H9" s="100">
        <f>IF(G9&gt;0, D9/G9, 0)</f>
        <v/>
      </c>
      <c r="I9" s="101">
        <f>IF(G9&gt;0, (D9-E9)/G9, 0)</f>
        <v/>
      </c>
    </row>
    <row r="10" ht="18" customHeight="1" s="55">
      <c r="A10" s="88" t="inlineStr">
        <is>
          <t>DI831</t>
        </is>
      </c>
      <c r="B10" s="86" t="n">
        <v>6</v>
      </c>
      <c r="C10" s="88" t="inlineStr">
        <is>
          <t>06:47:05</t>
        </is>
      </c>
      <c r="D10" s="86" t="n">
        <v>0</v>
      </c>
      <c r="E10" s="86" t="n">
        <v>2</v>
      </c>
      <c r="F10" s="86" t="n">
        <v>0</v>
      </c>
      <c r="G10" s="86">
        <f>D10+E10+F10</f>
        <v/>
      </c>
      <c r="H10" s="102">
        <f>IF(G10&gt;0, D10/G10, 0)</f>
        <v/>
      </c>
      <c r="I10" s="103">
        <f>IF(G10&gt;0, (D10-E10)/G10, 0)</f>
        <v/>
      </c>
    </row>
    <row r="11" ht="18" customHeight="1" s="55">
      <c r="A11" s="85" t="inlineStr">
        <is>
          <t>DI831</t>
        </is>
      </c>
      <c r="B11" s="83" t="n">
        <v>7</v>
      </c>
      <c r="C11" s="85" t="inlineStr">
        <is>
          <t>06:49:41</t>
        </is>
      </c>
      <c r="D11" s="83" t="n">
        <v>0</v>
      </c>
      <c r="E11" s="83" t="n">
        <v>0</v>
      </c>
      <c r="F11" s="83" t="n">
        <v>0</v>
      </c>
      <c r="G11" s="83">
        <f>D11+E11+F11</f>
        <v/>
      </c>
      <c r="H11" s="100">
        <f>IF(G11&gt;0, D11/G11, 0)</f>
        <v/>
      </c>
      <c r="I11" s="101">
        <f>IF(G11&gt;0, (D11-E11)/G11, 0)</f>
        <v/>
      </c>
    </row>
    <row r="12" ht="18" customHeight="1" s="55">
      <c r="A12" s="88" t="inlineStr">
        <is>
          <t>DI831</t>
        </is>
      </c>
      <c r="B12" s="86" t="n">
        <v>8</v>
      </c>
      <c r="C12" s="88" t="inlineStr">
        <is>
          <t>06:51:42</t>
        </is>
      </c>
      <c r="D12" s="86" t="n">
        <v>2</v>
      </c>
      <c r="E12" s="86" t="n">
        <v>0</v>
      </c>
      <c r="F12" s="86" t="n">
        <v>0</v>
      </c>
      <c r="G12" s="86">
        <f>D12+E12+F12</f>
        <v/>
      </c>
      <c r="H12" s="102">
        <f>IF(G12&gt;0, D12/G12, 0)</f>
        <v/>
      </c>
      <c r="I12" s="103">
        <f>IF(G12&gt;0, (D12-E12)/G12, 0)</f>
        <v/>
      </c>
    </row>
    <row r="13" ht="18" customHeight="1" s="55">
      <c r="A13" s="85" t="inlineStr">
        <is>
          <t>DI831</t>
        </is>
      </c>
      <c r="B13" s="83" t="n">
        <v>9</v>
      </c>
      <c r="C13" s="85" t="inlineStr">
        <is>
          <t>06:52:08</t>
        </is>
      </c>
      <c r="D13" s="83" t="n">
        <v>0</v>
      </c>
      <c r="E13" s="83" t="n">
        <v>0</v>
      </c>
      <c r="F13" s="83" t="n">
        <v>0</v>
      </c>
      <c r="G13" s="83">
        <f>D13+E13+F13</f>
        <v/>
      </c>
      <c r="H13" s="100">
        <f>IF(G13&gt;0, D13/G13, 0)</f>
        <v/>
      </c>
      <c r="I13" s="101">
        <f>IF(G13&gt;0, (D13-E13)/G13, 0)</f>
        <v/>
      </c>
    </row>
    <row r="14" ht="18" customHeight="1" s="55">
      <c r="A14" s="88" t="inlineStr">
        <is>
          <t>DI831</t>
        </is>
      </c>
      <c r="B14" s="86" t="n">
        <v>10</v>
      </c>
      <c r="C14" s="88" t="inlineStr">
        <is>
          <t>06:53:08</t>
        </is>
      </c>
      <c r="D14" s="86" t="n">
        <v>0</v>
      </c>
      <c r="E14" s="86" t="n">
        <v>1</v>
      </c>
      <c r="F14" s="86" t="n">
        <v>1</v>
      </c>
      <c r="G14" s="86">
        <f>D14+E14+F14</f>
        <v/>
      </c>
      <c r="H14" s="102">
        <f>IF(G14&gt;0, D14/G14, 0)</f>
        <v/>
      </c>
      <c r="I14" s="103">
        <f>IF(G14&gt;0, (D14-E14)/G14, 0)</f>
        <v/>
      </c>
    </row>
    <row r="15" ht="18" customHeight="1" s="55">
      <c r="A15" s="85" t="inlineStr">
        <is>
          <t>DI831</t>
        </is>
      </c>
      <c r="B15" s="83" t="n">
        <v>11</v>
      </c>
      <c r="C15" s="85" t="inlineStr">
        <is>
          <t>06:53:25</t>
        </is>
      </c>
      <c r="D15" s="83" t="n">
        <v>2</v>
      </c>
      <c r="E15" s="83" t="n">
        <v>1</v>
      </c>
      <c r="F15" s="83" t="n">
        <v>0</v>
      </c>
      <c r="G15" s="83">
        <f>D15+E15+F15</f>
        <v/>
      </c>
      <c r="H15" s="100">
        <f>IF(G15&gt;0, D15/G15, 0)</f>
        <v/>
      </c>
      <c r="I15" s="101">
        <f>IF(G15&gt;0, (D15-E15)/G15, 0)</f>
        <v/>
      </c>
    </row>
    <row r="16" ht="18" customHeight="1" s="55">
      <c r="A16" s="88" t="inlineStr">
        <is>
          <t>DI831</t>
        </is>
      </c>
      <c r="B16" s="86" t="n">
        <v>12</v>
      </c>
      <c r="C16" s="88" t="inlineStr">
        <is>
          <t>06:53:51</t>
        </is>
      </c>
      <c r="D16" s="86" t="n">
        <v>1</v>
      </c>
      <c r="E16" s="86" t="n">
        <v>1</v>
      </c>
      <c r="F16" s="86" t="n">
        <v>0</v>
      </c>
      <c r="G16" s="86">
        <f>D16+E16+F16</f>
        <v/>
      </c>
      <c r="H16" s="102">
        <f>IF(G16&gt;0, D16/G16, 0)</f>
        <v/>
      </c>
      <c r="I16" s="103">
        <f>IF(G16&gt;0, (D16-E16)/G16, 0)</f>
        <v/>
      </c>
    </row>
    <row r="17" ht="18" customHeight="1" s="55">
      <c r="A17" s="85" t="inlineStr">
        <is>
          <t>DI831</t>
        </is>
      </c>
      <c r="B17" s="83" t="n">
        <v>13</v>
      </c>
      <c r="C17" s="85" t="inlineStr">
        <is>
          <t>06:53:01</t>
        </is>
      </c>
      <c r="D17" s="83" t="n">
        <v>3</v>
      </c>
      <c r="E17" s="83" t="n">
        <v>1</v>
      </c>
      <c r="F17" s="83" t="n">
        <v>0</v>
      </c>
      <c r="G17" s="83">
        <f>D17+E17+F17</f>
        <v/>
      </c>
      <c r="H17" s="100">
        <f>IF(G17&gt;0, D17/G17, 0)</f>
        <v/>
      </c>
      <c r="I17" s="101">
        <f>IF(G17&gt;0, (D17-E17)/G17, 0)</f>
        <v/>
      </c>
    </row>
    <row r="18" ht="18" customHeight="1" s="55">
      <c r="A18" s="88" t="inlineStr">
        <is>
          <t>DI831</t>
        </is>
      </c>
      <c r="B18" s="86" t="n">
        <v>14</v>
      </c>
      <c r="C18" s="88" t="inlineStr">
        <is>
          <t>06:55:09</t>
        </is>
      </c>
      <c r="D18" s="86" t="n">
        <v>1</v>
      </c>
      <c r="E18" s="86" t="n">
        <v>1</v>
      </c>
      <c r="F18" s="86" t="n">
        <v>2</v>
      </c>
      <c r="G18" s="86">
        <f>D18+E18+F18</f>
        <v/>
      </c>
      <c r="H18" s="102">
        <f>IF(G18&gt;0, D18/G18, 0)</f>
        <v/>
      </c>
      <c r="I18" s="103">
        <f>IF(G18&gt;0, (D18-E18)/G18, 0)</f>
        <v/>
      </c>
    </row>
    <row r="19" ht="18" customHeight="1" s="55">
      <c r="A19" s="85" t="inlineStr">
        <is>
          <t>DI831</t>
        </is>
      </c>
      <c r="B19" s="83" t="n">
        <v>15</v>
      </c>
      <c r="C19" s="85" t="inlineStr">
        <is>
          <t>06:55:26</t>
        </is>
      </c>
      <c r="D19" s="83" t="n">
        <v>2</v>
      </c>
      <c r="E19" s="83" t="n">
        <v>0</v>
      </c>
      <c r="F19" s="83" t="n">
        <v>2</v>
      </c>
      <c r="G19" s="83">
        <f>D19+E19+F19</f>
        <v/>
      </c>
      <c r="H19" s="100">
        <f>IF(G19&gt;0, D19/G19, 0)</f>
        <v/>
      </c>
      <c r="I19" s="101">
        <f>IF(G19&gt;0, (D19-E19)/G19, 0)</f>
        <v/>
      </c>
    </row>
    <row r="20" ht="18" customHeight="1" s="55">
      <c r="A20" s="88" t="inlineStr">
        <is>
          <t>DI831</t>
        </is>
      </c>
      <c r="B20" s="86" t="n">
        <v>16</v>
      </c>
      <c r="C20" s="88" t="inlineStr">
        <is>
          <t>06:55:38</t>
        </is>
      </c>
      <c r="D20" s="86" t="n">
        <v>2</v>
      </c>
      <c r="E20" s="86" t="n">
        <v>0</v>
      </c>
      <c r="F20" s="86" t="n">
        <v>2</v>
      </c>
      <c r="G20" s="86">
        <f>D20+E20+F20</f>
        <v/>
      </c>
      <c r="H20" s="102">
        <f>IF(G20&gt;0, D20/G20, 0)</f>
        <v/>
      </c>
      <c r="I20" s="103">
        <f>IF(G20&gt;0, (D20-E20)/G20, 0)</f>
        <v/>
      </c>
    </row>
    <row r="21" ht="18" customHeight="1" s="55">
      <c r="A21" s="85" t="inlineStr">
        <is>
          <t>DI831</t>
        </is>
      </c>
      <c r="B21" s="83" t="n">
        <v>17</v>
      </c>
      <c r="C21" s="85" t="inlineStr">
        <is>
          <t>06:55:35</t>
        </is>
      </c>
      <c r="D21" s="83" t="n">
        <v>2</v>
      </c>
      <c r="E21" s="83" t="n">
        <v>0</v>
      </c>
      <c r="F21" s="83" t="n">
        <v>2</v>
      </c>
      <c r="G21" s="83">
        <f>D21+E21+F21</f>
        <v/>
      </c>
      <c r="H21" s="100">
        <f>IF(G21&gt;0, D21/G21, 0)</f>
        <v/>
      </c>
      <c r="I21" s="101">
        <f>IF(G21&gt;0, (D21-E21)/G21, 0)</f>
        <v/>
      </c>
    </row>
    <row r="22" ht="18" customHeight="1" s="55">
      <c r="A22" s="88" t="inlineStr">
        <is>
          <t>DI831</t>
        </is>
      </c>
      <c r="B22" s="86" t="n">
        <v>18</v>
      </c>
      <c r="C22" s="88" t="inlineStr">
        <is>
          <t>06:55:44</t>
        </is>
      </c>
      <c r="D22" s="86" t="n">
        <v>2</v>
      </c>
      <c r="E22" s="86" t="n">
        <v>0</v>
      </c>
      <c r="F22" s="86" t="n">
        <v>2</v>
      </c>
      <c r="G22" s="86">
        <f>D22+E22+F22</f>
        <v/>
      </c>
      <c r="H22" s="102">
        <f>IF(G22&gt;0, D22/G22, 0)</f>
        <v/>
      </c>
      <c r="I22" s="103">
        <f>IF(G22&gt;0, (D22-E22)/G22, 0)</f>
        <v/>
      </c>
    </row>
    <row r="23" ht="18" customHeight="1" s="55">
      <c r="A23" s="85" t="inlineStr">
        <is>
          <t>DI831</t>
        </is>
      </c>
      <c r="B23" s="83" t="n">
        <v>19</v>
      </c>
      <c r="C23" s="85" t="inlineStr">
        <is>
          <t>06:57:45</t>
        </is>
      </c>
      <c r="D23" s="83" t="n">
        <v>0</v>
      </c>
      <c r="E23" s="83" t="n">
        <v>0</v>
      </c>
      <c r="F23" s="83" t="n">
        <v>0</v>
      </c>
      <c r="G23" s="83">
        <f>D23+E23+F23</f>
        <v/>
      </c>
      <c r="H23" s="100">
        <f>IF(G23&gt;0, D23/G23, 0)</f>
        <v/>
      </c>
      <c r="I23" s="101">
        <f>IF(G23&gt;0, (D23-E23)/G23, 0)</f>
        <v/>
      </c>
    </row>
    <row r="24" ht="18" customHeight="1" s="55">
      <c r="A24" s="88" t="inlineStr">
        <is>
          <t>DI831</t>
        </is>
      </c>
      <c r="B24" s="86" t="n">
        <v>20</v>
      </c>
      <c r="C24" s="88" t="inlineStr">
        <is>
          <t>07:00:46</t>
        </is>
      </c>
      <c r="D24" s="86" t="n">
        <v>1</v>
      </c>
      <c r="E24" s="86" t="n">
        <v>2</v>
      </c>
      <c r="F24" s="86" t="n">
        <v>0</v>
      </c>
      <c r="G24" s="86">
        <f>D24+E24+F24</f>
        <v/>
      </c>
      <c r="H24" s="102">
        <f>IF(G24&gt;0, D24/G24, 0)</f>
        <v/>
      </c>
      <c r="I24" s="103">
        <f>IF(G24&gt;0, (D24-E24)/G24, 0)</f>
        <v/>
      </c>
    </row>
    <row r="25" ht="18" customHeight="1" s="55">
      <c r="A25" s="85" t="inlineStr">
        <is>
          <t>DI831</t>
        </is>
      </c>
      <c r="B25" s="83" t="n">
        <v>21</v>
      </c>
      <c r="C25" s="85" t="inlineStr">
        <is>
          <t>07:00:55</t>
        </is>
      </c>
      <c r="D25" s="83" t="n">
        <v>1</v>
      </c>
      <c r="E25" s="83" t="n">
        <v>0</v>
      </c>
      <c r="F25" s="83" t="n">
        <v>0</v>
      </c>
      <c r="G25" s="83">
        <f>D25+E25+F25</f>
        <v/>
      </c>
      <c r="H25" s="100">
        <f>IF(G25&gt;0, D25/G25, 0)</f>
        <v/>
      </c>
      <c r="I25" s="101">
        <f>IF(G25&gt;0, (D25-E25)/G25, 0)</f>
        <v/>
      </c>
    </row>
    <row r="26" ht="18" customHeight="1" s="55">
      <c r="A26" s="88" t="inlineStr">
        <is>
          <t>DI831</t>
        </is>
      </c>
      <c r="B26" s="86" t="n">
        <v>22</v>
      </c>
      <c r="C26" s="88" t="inlineStr">
        <is>
          <t>07:01:55</t>
        </is>
      </c>
      <c r="D26" s="86" t="n">
        <v>3</v>
      </c>
      <c r="E26" s="86" t="n">
        <v>0</v>
      </c>
      <c r="F26" s="86" t="n">
        <v>0</v>
      </c>
      <c r="G26" s="86">
        <f>D26+E26+F26</f>
        <v/>
      </c>
      <c r="H26" s="102">
        <f>IF(G26&gt;0, D26/G26, 0)</f>
        <v/>
      </c>
      <c r="I26" s="103">
        <f>IF(G26&gt;0, (D26-E26)/G26, 0)</f>
        <v/>
      </c>
    </row>
    <row r="27" ht="18" customHeight="1" s="55">
      <c r="A27" s="85" t="inlineStr">
        <is>
          <t>DI831</t>
        </is>
      </c>
      <c r="B27" s="83" t="n">
        <v>23</v>
      </c>
      <c r="C27" s="85" t="inlineStr">
        <is>
          <t>07:02:30</t>
        </is>
      </c>
      <c r="D27" s="83" t="n">
        <v>1</v>
      </c>
      <c r="E27" s="83" t="n">
        <v>2</v>
      </c>
      <c r="F27" s="83" t="n">
        <v>0</v>
      </c>
      <c r="G27" s="83">
        <f>D27+E27+F27</f>
        <v/>
      </c>
      <c r="H27" s="100">
        <f>IF(G27&gt;0, D27/G27, 0)</f>
        <v/>
      </c>
      <c r="I27" s="101">
        <f>IF(G27&gt;0, (D27-E27)/G27, 0)</f>
        <v/>
      </c>
    </row>
    <row r="28" ht="18" customHeight="1" s="55">
      <c r="A28" s="88" t="inlineStr">
        <is>
          <t>DI831</t>
        </is>
      </c>
      <c r="B28" s="86" t="n">
        <v>24</v>
      </c>
      <c r="C28" s="88" t="inlineStr">
        <is>
          <t>07:03:04</t>
        </is>
      </c>
      <c r="D28" s="86" t="n">
        <v>2</v>
      </c>
      <c r="E28" s="86" t="n">
        <v>0</v>
      </c>
      <c r="F28" s="86" t="n">
        <v>0</v>
      </c>
      <c r="G28" s="86">
        <f>D28+E28+F28</f>
        <v/>
      </c>
      <c r="H28" s="102">
        <f>IF(G28&gt;0, D28/G28, 0)</f>
        <v/>
      </c>
      <c r="I28" s="103">
        <f>IF(G28&gt;0, (D28-E28)/G28, 0)</f>
        <v/>
      </c>
    </row>
    <row r="29" ht="18" customHeight="1" s="55">
      <c r="A29" s="85" t="inlineStr">
        <is>
          <t>DI831</t>
        </is>
      </c>
      <c r="B29" s="83" t="n">
        <v>25</v>
      </c>
      <c r="C29" s="85" t="inlineStr">
        <is>
          <t>07:04:22</t>
        </is>
      </c>
      <c r="D29" s="83" t="n">
        <v>0</v>
      </c>
      <c r="E29" s="83" t="n">
        <v>1</v>
      </c>
      <c r="F29" s="83" t="n">
        <v>0</v>
      </c>
      <c r="G29" s="83">
        <f>D29+E29+F29</f>
        <v/>
      </c>
      <c r="H29" s="100">
        <f>IF(G29&gt;0, D29/G29, 0)</f>
        <v/>
      </c>
      <c r="I29" s="101">
        <f>IF(G29&gt;0, (D29-E29)/G29, 0)</f>
        <v/>
      </c>
    </row>
    <row r="30" ht="18" customHeight="1" s="55">
      <c r="A30" s="88" t="inlineStr">
        <is>
          <t>DI831</t>
        </is>
      </c>
      <c r="B30" s="86" t="n">
        <v>26</v>
      </c>
      <c r="C30" s="88" t="inlineStr">
        <is>
          <t>07:04:57</t>
        </is>
      </c>
      <c r="D30" s="86" t="n">
        <v>2</v>
      </c>
      <c r="E30" s="86" t="n">
        <v>4</v>
      </c>
      <c r="F30" s="86" t="n">
        <v>0</v>
      </c>
      <c r="G30" s="86">
        <f>D30+E30+F30</f>
        <v/>
      </c>
      <c r="H30" s="102">
        <f>IF(G30&gt;0, D30/G30, 0)</f>
        <v/>
      </c>
      <c r="I30" s="103">
        <f>IF(G30&gt;0, (D30-E30)/G30, 0)</f>
        <v/>
      </c>
    </row>
    <row r="31" ht="18" customHeight="1" s="55">
      <c r="A31" s="85" t="inlineStr">
        <is>
          <t>DI831</t>
        </is>
      </c>
      <c r="B31" s="83" t="n">
        <v>27</v>
      </c>
      <c r="C31" s="85" t="inlineStr">
        <is>
          <t>07:05:14</t>
        </is>
      </c>
      <c r="D31" s="83" t="n">
        <v>2</v>
      </c>
      <c r="E31" s="83" t="n">
        <v>0</v>
      </c>
      <c r="F31" s="83" t="n">
        <v>0</v>
      </c>
      <c r="G31" s="83">
        <f>D31+E31+F31</f>
        <v/>
      </c>
      <c r="H31" s="100">
        <f>IF(G31&gt;0, D31/G31, 0)</f>
        <v/>
      </c>
      <c r="I31" s="101">
        <f>IF(G31&gt;0, (D31-E31)/G31, 0)</f>
        <v/>
      </c>
    </row>
    <row r="32" ht="18" customHeight="1" s="55">
      <c r="A32" s="88" t="inlineStr">
        <is>
          <t>DI831</t>
        </is>
      </c>
      <c r="B32" s="86" t="n">
        <v>28</v>
      </c>
      <c r="C32" s="88" t="inlineStr">
        <is>
          <t>07:05:24</t>
        </is>
      </c>
      <c r="D32" s="86" t="n">
        <v>0</v>
      </c>
      <c r="E32" s="86" t="n">
        <v>0</v>
      </c>
      <c r="F32" s="86" t="n">
        <v>0</v>
      </c>
      <c r="G32" s="86">
        <f>D32+E32+F32</f>
        <v/>
      </c>
      <c r="H32" s="102">
        <f>IF(G32&gt;0, D32/G32, 0)</f>
        <v/>
      </c>
      <c r="I32" s="103">
        <f>IF(G32&gt;0, (D32-E32)/G32, 0)</f>
        <v/>
      </c>
    </row>
    <row r="33" ht="18" customHeight="1" s="55">
      <c r="A33" s="85" t="inlineStr">
        <is>
          <t>DI831</t>
        </is>
      </c>
      <c r="B33" s="83" t="n">
        <v>29</v>
      </c>
      <c r="C33" s="85" t="inlineStr">
        <is>
          <t>07:05:57</t>
        </is>
      </c>
      <c r="D33" s="83" t="n">
        <v>8</v>
      </c>
      <c r="E33" s="83" t="n">
        <v>1</v>
      </c>
      <c r="F33" s="83" t="n">
        <v>1</v>
      </c>
      <c r="G33" s="83">
        <f>D33+E33+F33</f>
        <v/>
      </c>
      <c r="H33" s="100">
        <f>IF(G33&gt;0, D33/G33, 0)</f>
        <v/>
      </c>
      <c r="I33" s="101">
        <f>IF(G33&gt;0, (D33-E33)/G33, 0)</f>
        <v/>
      </c>
    </row>
    <row r="34" ht="18" customHeight="1" s="55">
      <c r="A34" s="88" t="inlineStr">
        <is>
          <t>DI832</t>
        </is>
      </c>
      <c r="B34" s="86" t="n">
        <v>1</v>
      </c>
      <c r="C34" s="88" t="inlineStr">
        <is>
          <t>04:17:28</t>
        </is>
      </c>
      <c r="D34" s="86" t="n">
        <v>4</v>
      </c>
      <c r="E34" s="86" t="n">
        <v>0</v>
      </c>
      <c r="F34" s="86" t="n">
        <v>0</v>
      </c>
      <c r="G34" s="86">
        <f>D34+E34+F34</f>
        <v/>
      </c>
      <c r="H34" s="102">
        <f>IF(G34&gt;0, D34/G34, 0)</f>
        <v/>
      </c>
      <c r="I34" s="103">
        <f>IF(G34&gt;0, (D34-E34)/G34, 0)</f>
        <v/>
      </c>
    </row>
    <row r="35" ht="18" customHeight="1" s="55">
      <c r="A35" s="85" t="inlineStr">
        <is>
          <t>DI832</t>
        </is>
      </c>
      <c r="B35" s="83" t="n">
        <v>2</v>
      </c>
      <c r="C35" s="85" t="inlineStr">
        <is>
          <t>04:17:37</t>
        </is>
      </c>
      <c r="D35" s="83" t="n">
        <v>0</v>
      </c>
      <c r="E35" s="83" t="n">
        <v>0</v>
      </c>
      <c r="F35" s="83" t="n">
        <v>2</v>
      </c>
      <c r="G35" s="83">
        <f>D35+E35+F35</f>
        <v/>
      </c>
      <c r="H35" s="100">
        <f>IF(G35&gt;0, D35/G35, 0)</f>
        <v/>
      </c>
      <c r="I35" s="101">
        <f>IF(G35&gt;0, (D35-E35)/G35, 0)</f>
        <v/>
      </c>
    </row>
    <row r="36" ht="18" customHeight="1" s="55">
      <c r="A36" s="88" t="inlineStr">
        <is>
          <t>DI832</t>
        </is>
      </c>
      <c r="B36" s="86" t="n">
        <v>3</v>
      </c>
      <c r="C36" s="88" t="inlineStr">
        <is>
          <t>04:17:46</t>
        </is>
      </c>
      <c r="D36" s="86" t="n">
        <v>2</v>
      </c>
      <c r="E36" s="86" t="n">
        <v>0</v>
      </c>
      <c r="F36" s="86" t="n">
        <v>0</v>
      </c>
      <c r="G36" s="86">
        <f>D36+E36+F36</f>
        <v/>
      </c>
      <c r="H36" s="102">
        <f>IF(G36&gt;0, D36/G36, 0)</f>
        <v/>
      </c>
      <c r="I36" s="103">
        <f>IF(G36&gt;0, (D36-E36)/G36, 0)</f>
        <v/>
      </c>
    </row>
    <row r="37" ht="18" customHeight="1" s="55">
      <c r="A37" s="85" t="inlineStr">
        <is>
          <t>DI832</t>
        </is>
      </c>
      <c r="B37" s="83" t="n">
        <v>4</v>
      </c>
      <c r="C37" s="85" t="inlineStr">
        <is>
          <t>04:18:20</t>
        </is>
      </c>
      <c r="D37" s="83" t="n">
        <v>0</v>
      </c>
      <c r="E37" s="83" t="n">
        <v>0</v>
      </c>
      <c r="F37" s="83" t="n">
        <v>0</v>
      </c>
      <c r="G37" s="83">
        <f>D37+E37+F37</f>
        <v/>
      </c>
      <c r="H37" s="100">
        <f>IF(G37&gt;0, D37/G37, 0)</f>
        <v/>
      </c>
      <c r="I37" s="101">
        <f>IF(G37&gt;0, (D37-E37)/G37, 0)</f>
        <v/>
      </c>
    </row>
    <row r="38" ht="18" customHeight="1" s="55">
      <c r="A38" s="88" t="inlineStr">
        <is>
          <t>DI832</t>
        </is>
      </c>
      <c r="B38" s="86" t="n">
        <v>5</v>
      </c>
      <c r="C38" s="88" t="inlineStr">
        <is>
          <t>04:18:37</t>
        </is>
      </c>
      <c r="D38" s="86" t="n">
        <v>2</v>
      </c>
      <c r="E38" s="86" t="n">
        <v>1</v>
      </c>
      <c r="F38" s="86" t="n">
        <v>0</v>
      </c>
      <c r="G38" s="86">
        <f>D38+E38+F38</f>
        <v/>
      </c>
      <c r="H38" s="102">
        <f>IF(G38&gt;0, D38/G38, 0)</f>
        <v/>
      </c>
      <c r="I38" s="103">
        <f>IF(G38&gt;0, (D38-E38)/G38, 0)</f>
        <v/>
      </c>
    </row>
    <row r="39" ht="18" customHeight="1" s="55">
      <c r="A39" s="85" t="inlineStr">
        <is>
          <t>DI832</t>
        </is>
      </c>
      <c r="B39" s="83" t="n">
        <v>6</v>
      </c>
      <c r="C39" s="85" t="inlineStr">
        <is>
          <t>04:18:46</t>
        </is>
      </c>
      <c r="D39" s="83" t="n">
        <v>0</v>
      </c>
      <c r="E39" s="83" t="n">
        <v>1</v>
      </c>
      <c r="F39" s="83" t="n">
        <v>2</v>
      </c>
      <c r="G39" s="83">
        <f>D39+E39+F39</f>
        <v/>
      </c>
      <c r="H39" s="100">
        <f>IF(G39&gt;0, D39/G39, 0)</f>
        <v/>
      </c>
      <c r="I39" s="101">
        <f>IF(G39&gt;0, (D39-E39)/G39, 0)</f>
        <v/>
      </c>
    </row>
    <row r="40" ht="18" customHeight="1" s="55">
      <c r="A40" s="88" t="inlineStr">
        <is>
          <t>DI832</t>
        </is>
      </c>
      <c r="B40" s="86" t="n">
        <v>7</v>
      </c>
      <c r="C40" s="88" t="inlineStr">
        <is>
          <t>04:19:21</t>
        </is>
      </c>
      <c r="D40" s="86" t="n">
        <v>3</v>
      </c>
      <c r="E40" s="86" t="n">
        <v>1</v>
      </c>
      <c r="F40" s="86" t="n">
        <v>0</v>
      </c>
      <c r="G40" s="86">
        <f>D40+E40+F40</f>
        <v/>
      </c>
      <c r="H40" s="102">
        <f>IF(G40&gt;0, D40/G40, 0)</f>
        <v/>
      </c>
      <c r="I40" s="103">
        <f>IF(G40&gt;0, (D40-E40)/G40, 0)</f>
        <v/>
      </c>
    </row>
    <row r="41" ht="18" customHeight="1" s="55">
      <c r="A41" s="85" t="inlineStr">
        <is>
          <t>DI832</t>
        </is>
      </c>
      <c r="B41" s="83" t="n">
        <v>8</v>
      </c>
      <c r="C41" s="85" t="inlineStr">
        <is>
          <t>04:19:29</t>
        </is>
      </c>
      <c r="D41" s="83" t="n">
        <v>1</v>
      </c>
      <c r="E41" s="83" t="n">
        <v>0</v>
      </c>
      <c r="F41" s="83" t="n">
        <v>0</v>
      </c>
      <c r="G41" s="83">
        <f>D41+E41+F41</f>
        <v/>
      </c>
      <c r="H41" s="100">
        <f>IF(G41&gt;0, D41/G41, 0)</f>
        <v/>
      </c>
      <c r="I41" s="101">
        <f>IF(G41&gt;0, (D41-E41)/G41, 0)</f>
        <v/>
      </c>
    </row>
    <row r="42" ht="18" customHeight="1" s="55">
      <c r="A42" s="88" t="inlineStr">
        <is>
          <t>DI832</t>
        </is>
      </c>
      <c r="B42" s="86" t="n">
        <v>9</v>
      </c>
      <c r="C42" s="88" t="inlineStr">
        <is>
          <t>04:20:12</t>
        </is>
      </c>
      <c r="D42" s="86" t="n">
        <v>0</v>
      </c>
      <c r="E42" s="86" t="n">
        <v>0</v>
      </c>
      <c r="F42" s="86" t="n">
        <v>0</v>
      </c>
      <c r="G42" s="86">
        <f>D42+E42+F42</f>
        <v/>
      </c>
      <c r="H42" s="102">
        <f>IF(G42&gt;0, D42/G42, 0)</f>
        <v/>
      </c>
      <c r="I42" s="103">
        <f>IF(G42&gt;0, (D42-E42)/G42, 0)</f>
        <v/>
      </c>
    </row>
    <row r="43" ht="18" customHeight="1" s="55">
      <c r="A43" s="85" t="inlineStr">
        <is>
          <t>DI832</t>
        </is>
      </c>
      <c r="B43" s="83" t="n">
        <v>10</v>
      </c>
      <c r="C43" s="85" t="inlineStr">
        <is>
          <t>04:21:04</t>
        </is>
      </c>
      <c r="D43" s="83" t="n">
        <v>5</v>
      </c>
      <c r="E43" s="83" t="n">
        <v>3</v>
      </c>
      <c r="F43" s="83" t="n">
        <v>5</v>
      </c>
      <c r="G43" s="83">
        <f>D43+E43+F43</f>
        <v/>
      </c>
      <c r="H43" s="100">
        <f>IF(G43&gt;0, D43/G43, 0)</f>
        <v/>
      </c>
      <c r="I43" s="101">
        <f>IF(G43&gt;0, (D43-E43)/G43, 0)</f>
        <v/>
      </c>
    </row>
    <row r="44" ht="18" customHeight="1" s="55">
      <c r="A44" s="88" t="inlineStr">
        <is>
          <t>DI832</t>
        </is>
      </c>
      <c r="B44" s="86" t="n">
        <v>11</v>
      </c>
      <c r="C44" s="88" t="inlineStr">
        <is>
          <t>04:21:22</t>
        </is>
      </c>
      <c r="D44" s="86" t="n">
        <v>4</v>
      </c>
      <c r="E44" s="86" t="n">
        <v>4</v>
      </c>
      <c r="F44" s="86" t="n">
        <v>4</v>
      </c>
      <c r="G44" s="86">
        <f>D44+E44+F44</f>
        <v/>
      </c>
      <c r="H44" s="102">
        <f>IF(G44&gt;0, D44/G44, 0)</f>
        <v/>
      </c>
      <c r="I44" s="103">
        <f>IF(G44&gt;0, (D44-E44)/G44, 0)</f>
        <v/>
      </c>
    </row>
    <row r="45" ht="18" customHeight="1" s="55">
      <c r="A45" s="85" t="inlineStr">
        <is>
          <t>DI832</t>
        </is>
      </c>
      <c r="B45" s="83" t="n">
        <v>12</v>
      </c>
      <c r="C45" s="85" t="inlineStr">
        <is>
          <t>04:23:40</t>
        </is>
      </c>
      <c r="D45" s="83" t="n">
        <v>8</v>
      </c>
      <c r="E45" s="83" t="n">
        <v>0</v>
      </c>
      <c r="F45" s="83" t="n">
        <v>0</v>
      </c>
      <c r="G45" s="83">
        <f>D45+E45+F45</f>
        <v/>
      </c>
      <c r="H45" s="100">
        <f>IF(G45&gt;0, D45/G45, 0)</f>
        <v/>
      </c>
      <c r="I45" s="101">
        <f>IF(G45&gt;0, (D45-E45)/G45, 0)</f>
        <v/>
      </c>
    </row>
    <row r="46" ht="18" customHeight="1" s="55">
      <c r="A46" s="88" t="inlineStr">
        <is>
          <t>DI832</t>
        </is>
      </c>
      <c r="B46" s="86" t="n">
        <v>13</v>
      </c>
      <c r="C46" s="88" t="inlineStr">
        <is>
          <t>04:24:06</t>
        </is>
      </c>
      <c r="D46" s="86" t="n">
        <v>9</v>
      </c>
      <c r="E46" s="86" t="n">
        <v>3</v>
      </c>
      <c r="F46" s="86" t="n">
        <v>1</v>
      </c>
      <c r="G46" s="86">
        <f>D46+E46+F46</f>
        <v/>
      </c>
      <c r="H46" s="102">
        <f>IF(G46&gt;0, D46/G46, 0)</f>
        <v/>
      </c>
      <c r="I46" s="103">
        <f>IF(G46&gt;0, (D46-E46)/G46, 0)</f>
        <v/>
      </c>
    </row>
    <row r="47" ht="18" customHeight="1" s="55">
      <c r="A47" s="85" t="inlineStr">
        <is>
          <t>DI832</t>
        </is>
      </c>
      <c r="B47" s="83" t="n">
        <v>14</v>
      </c>
      <c r="C47" s="85" t="inlineStr">
        <is>
          <t>04:24:40</t>
        </is>
      </c>
      <c r="D47" s="83" t="n">
        <v>1</v>
      </c>
      <c r="E47" s="83" t="n">
        <v>2</v>
      </c>
      <c r="F47" s="83" t="n">
        <v>0</v>
      </c>
      <c r="G47" s="83">
        <f>D47+E47+F47</f>
        <v/>
      </c>
      <c r="H47" s="100">
        <f>IF(G47&gt;0, D47/G47, 0)</f>
        <v/>
      </c>
      <c r="I47" s="101">
        <f>IF(G47&gt;0, (D47-E47)/G47, 0)</f>
        <v/>
      </c>
    </row>
    <row r="48" ht="18" customHeight="1" s="55">
      <c r="A48" s="88" t="inlineStr">
        <is>
          <t>DI832</t>
        </is>
      </c>
      <c r="B48" s="86" t="n">
        <v>15</v>
      </c>
      <c r="C48" s="88" t="inlineStr">
        <is>
          <t>04:24:58</t>
        </is>
      </c>
      <c r="D48" s="86" t="n">
        <v>4</v>
      </c>
      <c r="E48" s="86" t="n">
        <v>1</v>
      </c>
      <c r="F48" s="86" t="n">
        <v>0</v>
      </c>
      <c r="G48" s="86">
        <f>D48+E48+F48</f>
        <v/>
      </c>
      <c r="H48" s="102">
        <f>IF(G48&gt;0, D48/G48, 0)</f>
        <v/>
      </c>
      <c r="I48" s="103">
        <f>IF(G48&gt;0, (D48-E48)/G48, 0)</f>
        <v/>
      </c>
    </row>
    <row r="49" ht="18" customHeight="1" s="55">
      <c r="A49" s="85" t="inlineStr">
        <is>
          <t>DI832</t>
        </is>
      </c>
      <c r="B49" s="83" t="n">
        <v>16</v>
      </c>
      <c r="C49" s="85" t="inlineStr">
        <is>
          <t>04:25:58</t>
        </is>
      </c>
      <c r="D49" s="83" t="n">
        <v>2</v>
      </c>
      <c r="E49" s="83" t="n">
        <v>3</v>
      </c>
      <c r="F49" s="83" t="n">
        <v>0</v>
      </c>
      <c r="G49" s="83">
        <f>D49+E49+F49</f>
        <v/>
      </c>
      <c r="H49" s="100">
        <f>IF(G49&gt;0, D49/G49, 0)</f>
        <v/>
      </c>
      <c r="I49" s="101">
        <f>IF(G49&gt;0, (D49-E49)/G49, 0)</f>
        <v/>
      </c>
    </row>
    <row r="50" ht="18" customHeight="1" s="55">
      <c r="A50" s="88" t="inlineStr">
        <is>
          <t>DI832</t>
        </is>
      </c>
      <c r="B50" s="86" t="n">
        <v>17</v>
      </c>
      <c r="C50" s="88" t="inlineStr">
        <is>
          <t>04:26:33</t>
        </is>
      </c>
      <c r="D50" s="86" t="n">
        <v>10</v>
      </c>
      <c r="E50" s="86" t="n">
        <v>3</v>
      </c>
      <c r="F50" s="86" t="n">
        <v>0</v>
      </c>
      <c r="G50" s="86">
        <f>D50+E50+F50</f>
        <v/>
      </c>
      <c r="H50" s="102">
        <f>IF(G50&gt;0, D50/G50, 0)</f>
        <v/>
      </c>
      <c r="I50" s="103">
        <f>IF(G50&gt;0, (D50-E50)/G50, 0)</f>
        <v/>
      </c>
    </row>
    <row r="51" ht="18" customHeight="1" s="55">
      <c r="A51" s="85" t="inlineStr">
        <is>
          <t>DI832</t>
        </is>
      </c>
      <c r="B51" s="83" t="n">
        <v>18</v>
      </c>
      <c r="C51" s="85" t="inlineStr">
        <is>
          <t>04:27:59</t>
        </is>
      </c>
      <c r="D51" s="83" t="n">
        <v>5</v>
      </c>
      <c r="E51" s="83" t="n">
        <v>0</v>
      </c>
      <c r="F51" s="83" t="n">
        <v>1</v>
      </c>
      <c r="G51" s="83">
        <f>D51+E51+F51</f>
        <v/>
      </c>
      <c r="H51" s="100">
        <f>IF(G51&gt;0, D51/G51, 0)</f>
        <v/>
      </c>
      <c r="I51" s="101">
        <f>IF(G51&gt;0, (D51-E51)/G51, 0)</f>
        <v/>
      </c>
    </row>
    <row r="52" ht="18" customHeight="1" s="55">
      <c r="A52" s="88" t="inlineStr">
        <is>
          <t>DI832</t>
        </is>
      </c>
      <c r="B52" s="86" t="n">
        <v>19</v>
      </c>
      <c r="C52" s="88" t="inlineStr">
        <is>
          <t>04:28:08</t>
        </is>
      </c>
      <c r="D52" s="86" t="n">
        <v>6</v>
      </c>
      <c r="E52" s="86" t="n">
        <v>5</v>
      </c>
      <c r="F52" s="86" t="n">
        <v>1</v>
      </c>
      <c r="G52" s="86">
        <f>D52+E52+F52</f>
        <v/>
      </c>
      <c r="H52" s="102">
        <f>IF(G52&gt;0, D52/G52, 0)</f>
        <v/>
      </c>
      <c r="I52" s="103">
        <f>IF(G52&gt;0, (D52-E52)/G52, 0)</f>
        <v/>
      </c>
    </row>
    <row r="53" ht="18" customHeight="1" s="55">
      <c r="A53" s="85" t="inlineStr">
        <is>
          <t>DI832</t>
        </is>
      </c>
      <c r="B53" s="83" t="n">
        <v>20</v>
      </c>
      <c r="C53" s="85" t="inlineStr">
        <is>
          <t>04:29:00</t>
        </is>
      </c>
      <c r="D53" s="83" t="n">
        <v>2</v>
      </c>
      <c r="E53" s="83" t="n">
        <v>4</v>
      </c>
      <c r="F53" s="83" t="n">
        <v>1</v>
      </c>
      <c r="G53" s="83">
        <f>D53+E53+F53</f>
        <v/>
      </c>
      <c r="H53" s="100">
        <f>IF(G53&gt;0, D53/G53, 0)</f>
        <v/>
      </c>
      <c r="I53" s="101">
        <f>IF(G53&gt;0, (D53-E53)/G53, 0)</f>
        <v/>
      </c>
    </row>
    <row r="54" ht="18" customHeight="1" s="55">
      <c r="A54" s="88" t="inlineStr">
        <is>
          <t>DI832</t>
        </is>
      </c>
      <c r="B54" s="86" t="n">
        <v>21</v>
      </c>
      <c r="C54" s="88" t="inlineStr">
        <is>
          <t>04:29:08</t>
        </is>
      </c>
      <c r="D54" s="86" t="n">
        <v>4</v>
      </c>
      <c r="E54" s="86" t="n">
        <v>1</v>
      </c>
      <c r="F54" s="86" t="n">
        <v>1</v>
      </c>
      <c r="G54" s="86">
        <f>D54+E54+F54</f>
        <v/>
      </c>
      <c r="H54" s="102">
        <f>IF(G54&gt;0, D54/G54, 0)</f>
        <v/>
      </c>
      <c r="I54" s="103">
        <f>IF(G54&gt;0, (D54-E54)/G54, 0)</f>
        <v/>
      </c>
    </row>
    <row r="55" ht="18" customHeight="1" s="55">
      <c r="A55" s="85" t="inlineStr">
        <is>
          <t>DI832</t>
        </is>
      </c>
      <c r="B55" s="83" t="n">
        <v>22</v>
      </c>
      <c r="C55" s="85" t="inlineStr">
        <is>
          <t>04:30:00</t>
        </is>
      </c>
      <c r="D55" s="83" t="n">
        <v>7</v>
      </c>
      <c r="E55" s="83" t="n">
        <v>4</v>
      </c>
      <c r="F55" s="83" t="n">
        <v>0</v>
      </c>
      <c r="G55" s="83">
        <f>D55+E55+F55</f>
        <v/>
      </c>
      <c r="H55" s="100">
        <f>IF(G55&gt;0, D55/G55, 0)</f>
        <v/>
      </c>
      <c r="I55" s="101">
        <f>IF(G55&gt;0, (D55-E55)/G55, 0)</f>
        <v/>
      </c>
    </row>
    <row r="56" ht="18" customHeight="1" s="55">
      <c r="A56" s="88" t="inlineStr">
        <is>
          <t>DI832</t>
        </is>
      </c>
      <c r="B56" s="86" t="n">
        <v>23</v>
      </c>
      <c r="C56" s="88" t="inlineStr">
        <is>
          <t>04:30:52</t>
        </is>
      </c>
      <c r="D56" s="86" t="n">
        <v>14</v>
      </c>
      <c r="E56" s="86" t="n">
        <v>2</v>
      </c>
      <c r="F56" s="86" t="n">
        <v>0</v>
      </c>
      <c r="G56" s="86">
        <f>D56+E56+F56</f>
        <v/>
      </c>
      <c r="H56" s="102">
        <f>IF(G56&gt;0, D56/G56, 0)</f>
        <v/>
      </c>
      <c r="I56" s="103">
        <f>IF(G56&gt;0, (D56-E56)/G56, 0)</f>
        <v/>
      </c>
    </row>
    <row r="57" ht="18" customHeight="1" s="55">
      <c r="A57" s="85" t="inlineStr">
        <is>
          <t>DI832</t>
        </is>
      </c>
      <c r="B57" s="83" t="n">
        <v>24</v>
      </c>
      <c r="C57" s="85" t="inlineStr">
        <is>
          <t>04:31:18</t>
        </is>
      </c>
      <c r="D57" s="83" t="n">
        <v>8</v>
      </c>
      <c r="E57" s="83" t="n">
        <v>5</v>
      </c>
      <c r="F57" s="83" t="n">
        <v>4</v>
      </c>
      <c r="G57" s="83">
        <f>D57+E57+F57</f>
        <v/>
      </c>
      <c r="H57" s="100">
        <f>IF(G57&gt;0, D57/G57, 0)</f>
        <v/>
      </c>
      <c r="I57" s="101">
        <f>IF(G57&gt;0, (D57-E57)/G57, 0)</f>
        <v/>
      </c>
    </row>
    <row r="58" ht="18" customHeight="1" s="55">
      <c r="A58" s="88" t="inlineStr">
        <is>
          <t>DI832</t>
        </is>
      </c>
      <c r="B58" s="86" t="n">
        <v>25</v>
      </c>
      <c r="C58" s="88" t="inlineStr">
        <is>
          <t>04:33:19</t>
        </is>
      </c>
      <c r="D58" s="86" t="n">
        <v>4</v>
      </c>
      <c r="E58" s="86" t="n">
        <v>3</v>
      </c>
      <c r="F58" s="86" t="n">
        <v>5</v>
      </c>
      <c r="G58" s="86">
        <f>D58+E58+F58</f>
        <v/>
      </c>
      <c r="H58" s="102">
        <f>IF(G58&gt;0, D58/G58, 0)</f>
        <v/>
      </c>
      <c r="I58" s="103">
        <f>IF(G58&gt;0, (D58-E58)/G58, 0)</f>
        <v/>
      </c>
    </row>
    <row r="59" ht="18" customHeight="1" s="55">
      <c r="A59" s="85" t="inlineStr">
        <is>
          <t>DI832</t>
        </is>
      </c>
      <c r="B59" s="83" t="n">
        <v>26</v>
      </c>
      <c r="C59" s="85" t="inlineStr">
        <is>
          <t>04:33:45</t>
        </is>
      </c>
      <c r="D59" s="83" t="n">
        <v>8</v>
      </c>
      <c r="E59" s="83" t="n">
        <v>4</v>
      </c>
      <c r="F59" s="83" t="n">
        <v>3</v>
      </c>
      <c r="G59" s="83">
        <f>D59+E59+F59</f>
        <v/>
      </c>
      <c r="H59" s="100">
        <f>IF(G59&gt;0, D59/G59, 0)</f>
        <v/>
      </c>
      <c r="I59" s="101">
        <f>IF(G59&gt;0, (D59-E59)/G59, 0)</f>
        <v/>
      </c>
    </row>
    <row r="60" ht="18" customHeight="1" s="55">
      <c r="A60" s="88" t="inlineStr">
        <is>
          <t>DI832</t>
        </is>
      </c>
      <c r="B60" s="86" t="n">
        <v>27</v>
      </c>
      <c r="C60" s="88" t="inlineStr">
        <is>
          <t>04:35:11</t>
        </is>
      </c>
      <c r="D60" s="86" t="n">
        <v>9</v>
      </c>
      <c r="E60" s="86" t="n">
        <v>3</v>
      </c>
      <c r="F60" s="86" t="n">
        <v>3</v>
      </c>
      <c r="G60" s="86">
        <f>D60+E60+F60</f>
        <v/>
      </c>
      <c r="H60" s="102">
        <f>IF(G60&gt;0, D60/G60, 0)</f>
        <v/>
      </c>
      <c r="I60" s="103">
        <f>IF(G60&gt;0, (D60-E60)/G60, 0)</f>
        <v/>
      </c>
    </row>
    <row r="61" ht="18" customHeight="1" s="55">
      <c r="A61" s="85" t="inlineStr">
        <is>
          <t>DI832</t>
        </is>
      </c>
      <c r="B61" s="83" t="n">
        <v>28</v>
      </c>
      <c r="C61" s="85" t="inlineStr">
        <is>
          <t>04:35:37</t>
        </is>
      </c>
      <c r="D61" s="83" t="n">
        <v>12</v>
      </c>
      <c r="E61" s="83" t="n">
        <v>3</v>
      </c>
      <c r="F61" s="83" t="n">
        <v>0</v>
      </c>
      <c r="G61" s="83">
        <f>D61+E61+F61</f>
        <v/>
      </c>
      <c r="H61" s="100">
        <f>IF(G61&gt;0, D61/G61, 0)</f>
        <v/>
      </c>
      <c r="I61" s="101">
        <f>IF(G61&gt;0, (D61-E61)/G61, 0)</f>
        <v/>
      </c>
    </row>
    <row r="62" ht="18" customHeight="1" s="55">
      <c r="A62" s="88" t="inlineStr">
        <is>
          <t>DI832</t>
        </is>
      </c>
      <c r="B62" s="86" t="n">
        <v>29</v>
      </c>
      <c r="C62" s="88" t="inlineStr">
        <is>
          <t>04:36:03</t>
        </is>
      </c>
      <c r="D62" s="86" t="n">
        <v>2</v>
      </c>
      <c r="E62" s="86" t="n">
        <v>6</v>
      </c>
      <c r="F62" s="86" t="n">
        <v>6</v>
      </c>
      <c r="G62" s="86">
        <f>D62+E62+F62</f>
        <v/>
      </c>
      <c r="H62" s="102">
        <f>IF(G62&gt;0, D62/G62, 0)</f>
        <v/>
      </c>
      <c r="I62" s="103">
        <f>IF(G62&gt;0, (D62-E62)/G62, 0)</f>
        <v/>
      </c>
    </row>
    <row r="63" ht="18" customHeight="1" s="55">
      <c r="A63" s="85" t="inlineStr">
        <is>
          <t>DI833</t>
        </is>
      </c>
      <c r="B63" s="83" t="n">
        <v>1</v>
      </c>
      <c r="C63" s="85" t="inlineStr">
        <is>
          <t>04:07:24</t>
        </is>
      </c>
      <c r="D63" s="83" t="n">
        <v>0</v>
      </c>
      <c r="E63" s="83" t="n">
        <v>1</v>
      </c>
      <c r="F63" s="83" t="n">
        <v>1</v>
      </c>
      <c r="G63" s="83">
        <f>D63+E63+F63</f>
        <v/>
      </c>
      <c r="H63" s="100">
        <f>IF(G63&gt;0, D63/G63, 0)</f>
        <v/>
      </c>
      <c r="I63" s="101">
        <f>IF(G63&gt;0, (D63-E63)/G63, 0)</f>
        <v/>
      </c>
    </row>
    <row r="64" ht="18" customHeight="1" s="55">
      <c r="A64" s="88" t="inlineStr">
        <is>
          <t>DI833</t>
        </is>
      </c>
      <c r="B64" s="86" t="n">
        <v>2</v>
      </c>
      <c r="C64" s="88" t="inlineStr">
        <is>
          <t>04:07:32</t>
        </is>
      </c>
      <c r="D64" s="86" t="n">
        <v>5</v>
      </c>
      <c r="E64" s="86" t="n">
        <v>0</v>
      </c>
      <c r="F64" s="86" t="n">
        <v>0</v>
      </c>
      <c r="G64" s="86">
        <f>D64+E64+F64</f>
        <v/>
      </c>
      <c r="H64" s="102">
        <f>IF(G64&gt;0, D64/G64, 0)</f>
        <v/>
      </c>
      <c r="I64" s="103">
        <f>IF(G64&gt;0, (D64-E64)/G64, 0)</f>
        <v/>
      </c>
    </row>
    <row r="65" ht="18" customHeight="1" s="55">
      <c r="A65" s="85" t="inlineStr">
        <is>
          <t>DI833</t>
        </is>
      </c>
      <c r="B65" s="83" t="n">
        <v>3</v>
      </c>
      <c r="C65" s="85" t="inlineStr">
        <is>
          <t>04:08:59</t>
        </is>
      </c>
      <c r="D65" s="83" t="n">
        <v>2</v>
      </c>
      <c r="E65" s="83" t="n">
        <v>2</v>
      </c>
      <c r="F65" s="83" t="n">
        <v>0</v>
      </c>
      <c r="G65" s="83">
        <f>D65+E65+F65</f>
        <v/>
      </c>
      <c r="H65" s="100">
        <f>IF(G65&gt;0, D65/G65, 0)</f>
        <v/>
      </c>
      <c r="I65" s="101">
        <f>IF(G65&gt;0, (D65-E65)/G65, 0)</f>
        <v/>
      </c>
    </row>
    <row r="66" ht="18" customHeight="1" s="55">
      <c r="A66" s="88" t="inlineStr">
        <is>
          <t>DI833</t>
        </is>
      </c>
      <c r="B66" s="86" t="n">
        <v>4</v>
      </c>
      <c r="C66" s="88" t="inlineStr">
        <is>
          <t>04:10:51</t>
        </is>
      </c>
      <c r="D66" s="86" t="n">
        <v>4</v>
      </c>
      <c r="E66" s="86" t="n">
        <v>2</v>
      </c>
      <c r="F66" s="86" t="n">
        <v>0</v>
      </c>
      <c r="G66" s="86">
        <f>D66+E66+F66</f>
        <v/>
      </c>
      <c r="H66" s="102">
        <f>IF(G66&gt;0, D66/G66, 0)</f>
        <v/>
      </c>
      <c r="I66" s="103">
        <f>IF(G66&gt;0, (D66-E66)/G66, 0)</f>
        <v/>
      </c>
    </row>
    <row r="67" ht="18" customHeight="1" s="55">
      <c r="A67" s="85" t="inlineStr">
        <is>
          <t>DI833</t>
        </is>
      </c>
      <c r="B67" s="83" t="n">
        <v>5</v>
      </c>
      <c r="C67" s="85" t="inlineStr">
        <is>
          <t>04:12:00</t>
        </is>
      </c>
      <c r="D67" s="83" t="n">
        <v>6</v>
      </c>
      <c r="E67" s="83" t="n">
        <v>4</v>
      </c>
      <c r="F67" s="83" t="n">
        <v>6</v>
      </c>
      <c r="G67" s="83">
        <f>D67+E67+F67</f>
        <v/>
      </c>
      <c r="H67" s="100">
        <f>IF(G67&gt;0, D67/G67, 0)</f>
        <v/>
      </c>
      <c r="I67" s="101">
        <f>IF(G67&gt;0, (D67-E67)/G67, 0)</f>
        <v/>
      </c>
    </row>
    <row r="68" ht="18" customHeight="1" s="55">
      <c r="A68" s="88" t="inlineStr">
        <is>
          <t>DI833</t>
        </is>
      </c>
      <c r="B68" s="86" t="n">
        <v>6</v>
      </c>
      <c r="C68" s="88" t="inlineStr">
        <is>
          <t>04:12:09</t>
        </is>
      </c>
      <c r="D68" s="86" t="n">
        <v>7</v>
      </c>
      <c r="E68" s="86" t="n">
        <v>2</v>
      </c>
      <c r="F68" s="86" t="n">
        <v>2</v>
      </c>
      <c r="G68" s="86">
        <f>D68+E68+F68</f>
        <v/>
      </c>
      <c r="H68" s="102">
        <f>IF(G68&gt;0, D68/G68, 0)</f>
        <v/>
      </c>
      <c r="I68" s="103">
        <f>IF(G68&gt;0, (D68-E68)/G68, 0)</f>
        <v/>
      </c>
    </row>
    <row r="69" ht="18" customHeight="1" s="55">
      <c r="A69" s="85" t="inlineStr">
        <is>
          <t>DI833</t>
        </is>
      </c>
      <c r="B69" s="83" t="n">
        <v>7</v>
      </c>
      <c r="C69" s="85" t="inlineStr">
        <is>
          <t>04:12:17</t>
        </is>
      </c>
      <c r="D69" s="83" t="n">
        <v>7</v>
      </c>
      <c r="E69" s="83" t="n">
        <v>2</v>
      </c>
      <c r="F69" s="83" t="n">
        <v>1</v>
      </c>
      <c r="G69" s="83">
        <f>D69+E69+F69</f>
        <v/>
      </c>
      <c r="H69" s="100">
        <f>IF(G69&gt;0, D69/G69, 0)</f>
        <v/>
      </c>
      <c r="I69" s="101">
        <f>IF(G69&gt;0, (D69-E69)/G69, 0)</f>
        <v/>
      </c>
    </row>
    <row r="70" ht="18" customHeight="1" s="55">
      <c r="A70" s="88" t="inlineStr">
        <is>
          <t>DI833</t>
        </is>
      </c>
      <c r="B70" s="86" t="n">
        <v>8</v>
      </c>
      <c r="C70" s="88" t="inlineStr">
        <is>
          <t>04:15:36</t>
        </is>
      </c>
      <c r="D70" s="86" t="n">
        <v>6</v>
      </c>
      <c r="E70" s="86" t="n">
        <v>6</v>
      </c>
      <c r="F70" s="86" t="n">
        <v>1</v>
      </c>
      <c r="G70" s="86">
        <f>D70+E70+F70</f>
        <v/>
      </c>
      <c r="H70" s="102">
        <f>IF(G70&gt;0, D70/G70, 0)</f>
        <v/>
      </c>
      <c r="I70" s="103">
        <f>IF(G70&gt;0, (D70-E70)/G70, 0)</f>
        <v/>
      </c>
    </row>
    <row r="71" ht="18" customHeight="1" s="55">
      <c r="A71" s="85" t="inlineStr">
        <is>
          <t>DI833</t>
        </is>
      </c>
      <c r="B71" s="83" t="n">
        <v>9</v>
      </c>
      <c r="C71" s="85" t="inlineStr">
        <is>
          <t>04:16:19</t>
        </is>
      </c>
      <c r="D71" s="83" t="n">
        <v>6</v>
      </c>
      <c r="E71" s="83" t="n">
        <v>4</v>
      </c>
      <c r="F71" s="83" t="n">
        <v>2</v>
      </c>
      <c r="G71" s="83">
        <f>D71+E71+F71</f>
        <v/>
      </c>
      <c r="H71" s="100">
        <f>IF(G71&gt;0, D71/G71, 0)</f>
        <v/>
      </c>
      <c r="I71" s="101">
        <f>IF(G71&gt;0, (D71-E71)/G71, 0)</f>
        <v/>
      </c>
    </row>
    <row r="72" ht="18" customHeight="1" s="55">
      <c r="A72" s="88" t="inlineStr">
        <is>
          <t>DI833</t>
        </is>
      </c>
      <c r="B72" s="86" t="n">
        <v>10</v>
      </c>
      <c r="C72" s="88" t="inlineStr">
        <is>
          <t>04:16:28</t>
        </is>
      </c>
      <c r="D72" s="86" t="n">
        <v>7</v>
      </c>
      <c r="E72" s="86" t="n">
        <v>3</v>
      </c>
      <c r="F72" s="86" t="n">
        <v>3</v>
      </c>
      <c r="G72" s="86">
        <f>D72+E72+F72</f>
        <v/>
      </c>
      <c r="H72" s="102">
        <f>IF(G72&gt;0, D72/G72, 0)</f>
        <v/>
      </c>
      <c r="I72" s="103">
        <f>IF(G72&gt;0, (D72-E72)/G72, 0)</f>
        <v/>
      </c>
    </row>
    <row r="73" ht="18" customHeight="1" s="55">
      <c r="A73" s="85" t="inlineStr">
        <is>
          <t>DI833</t>
        </is>
      </c>
      <c r="B73" s="83" t="n">
        <v>11</v>
      </c>
      <c r="C73" s="85" t="inlineStr">
        <is>
          <t>04:16:54</t>
        </is>
      </c>
      <c r="D73" s="83" t="n">
        <v>12</v>
      </c>
      <c r="E73" s="83" t="n">
        <v>5</v>
      </c>
      <c r="F73" s="83" t="n">
        <v>8</v>
      </c>
      <c r="G73" s="83">
        <f>D73+E73+F73</f>
        <v/>
      </c>
      <c r="H73" s="100">
        <f>IF(G73&gt;0, D73/G73, 0)</f>
        <v/>
      </c>
      <c r="I73" s="101">
        <f>IF(G73&gt;0, (D73-E73)/G73, 0)</f>
        <v/>
      </c>
    </row>
    <row r="74" ht="18" customHeight="1" s="55">
      <c r="A74" s="88" t="inlineStr">
        <is>
          <t>DI833</t>
        </is>
      </c>
      <c r="B74" s="86" t="n">
        <v>12</v>
      </c>
      <c r="C74" s="88" t="inlineStr">
        <is>
          <t>04:17:46</t>
        </is>
      </c>
      <c r="D74" s="86" t="n">
        <v>9</v>
      </c>
      <c r="E74" s="86" t="n">
        <v>3</v>
      </c>
      <c r="F74" s="86" t="n">
        <v>2</v>
      </c>
      <c r="G74" s="86">
        <f>D74+E74+F74</f>
        <v/>
      </c>
      <c r="H74" s="102">
        <f>IF(G74&gt;0, D74/G74, 0)</f>
        <v/>
      </c>
      <c r="I74" s="103">
        <f>IF(G74&gt;0, (D74-E74)/G74, 0)</f>
        <v/>
      </c>
    </row>
    <row r="75" ht="18" customHeight="1" s="55">
      <c r="A75" s="85" t="inlineStr">
        <is>
          <t>DI833</t>
        </is>
      </c>
      <c r="B75" s="83" t="n">
        <v>13</v>
      </c>
      <c r="C75" s="85" t="inlineStr">
        <is>
          <t>04:18:29</t>
        </is>
      </c>
      <c r="D75" s="83" t="n">
        <v>0</v>
      </c>
      <c r="E75" s="83" t="n">
        <v>6</v>
      </c>
      <c r="F75" s="83" t="n">
        <v>0</v>
      </c>
      <c r="G75" s="83">
        <f>D75+E75+F75</f>
        <v/>
      </c>
      <c r="H75" s="100">
        <f>IF(G75&gt;0, D75/G75, 0)</f>
        <v/>
      </c>
      <c r="I75" s="101">
        <f>IF(G75&gt;0, (D75-E75)/G75, 0)</f>
        <v/>
      </c>
    </row>
    <row r="76" ht="18" customHeight="1" s="55">
      <c r="A76" s="88" t="inlineStr">
        <is>
          <t>DI833</t>
        </is>
      </c>
      <c r="B76" s="86" t="n">
        <v>14</v>
      </c>
      <c r="C76" s="88" t="inlineStr">
        <is>
          <t>04:19:29</t>
        </is>
      </c>
      <c r="D76" s="86" t="n">
        <v>4</v>
      </c>
      <c r="E76" s="86" t="n">
        <v>2</v>
      </c>
      <c r="F76" s="86" t="n">
        <v>2</v>
      </c>
      <c r="G76" s="86">
        <f>D76+E76+F76</f>
        <v/>
      </c>
      <c r="H76" s="102">
        <f>IF(G76&gt;0, D76/G76, 0)</f>
        <v/>
      </c>
      <c r="I76" s="103">
        <f>IF(G76&gt;0, (D76-E76)/G76, 0)</f>
        <v/>
      </c>
    </row>
    <row r="77" ht="18" customHeight="1" s="55">
      <c r="A77" s="85" t="inlineStr">
        <is>
          <t>DI833</t>
        </is>
      </c>
      <c r="B77" s="83" t="n">
        <v>15</v>
      </c>
      <c r="C77" s="85" t="inlineStr">
        <is>
          <t>04:19:47</t>
        </is>
      </c>
      <c r="D77" s="83" t="n">
        <v>3</v>
      </c>
      <c r="E77" s="83" t="n">
        <v>4</v>
      </c>
      <c r="F77" s="83" t="n">
        <v>3</v>
      </c>
      <c r="G77" s="83">
        <f>D77+E77+F77</f>
        <v/>
      </c>
      <c r="H77" s="100">
        <f>IF(G77&gt;0, D77/G77, 0)</f>
        <v/>
      </c>
      <c r="I77" s="101">
        <f>IF(G77&gt;0, (D77-E77)/G77, 0)</f>
        <v/>
      </c>
    </row>
    <row r="78" ht="18" customHeight="1" s="55">
      <c r="A78" s="88" t="inlineStr">
        <is>
          <t>DI833</t>
        </is>
      </c>
      <c r="B78" s="86" t="n">
        <v>16</v>
      </c>
      <c r="C78" s="88" t="inlineStr">
        <is>
          <t>04:20:30</t>
        </is>
      </c>
      <c r="D78" s="86" t="n">
        <v>19</v>
      </c>
      <c r="E78" s="86" t="n">
        <v>7</v>
      </c>
      <c r="F78" s="86" t="n">
        <v>2</v>
      </c>
      <c r="G78" s="86">
        <f>D78+E78+F78</f>
        <v/>
      </c>
      <c r="H78" s="102">
        <f>IF(G78&gt;0, D78/G78, 0)</f>
        <v/>
      </c>
      <c r="I78" s="103">
        <f>IF(G78&gt;0, (D78-E78)/G78, 0)</f>
        <v/>
      </c>
    </row>
    <row r="79" ht="18" customHeight="1" s="55">
      <c r="A79" s="85" t="inlineStr">
        <is>
          <t>DI833</t>
        </is>
      </c>
      <c r="B79" s="83" t="n">
        <v>17</v>
      </c>
      <c r="C79" s="85" t="inlineStr">
        <is>
          <t>04:22:31</t>
        </is>
      </c>
      <c r="D79" s="83" t="n">
        <v>11</v>
      </c>
      <c r="E79" s="83" t="n">
        <v>3</v>
      </c>
      <c r="F79" s="83" t="n">
        <v>0</v>
      </c>
      <c r="G79" s="83">
        <f>D79+E79+F79</f>
        <v/>
      </c>
      <c r="H79" s="100">
        <f>IF(G79&gt;0, D79/G79, 0)</f>
        <v/>
      </c>
      <c r="I79" s="101">
        <f>IF(G79&gt;0, (D79-E79)/G79, 0)</f>
        <v/>
      </c>
    </row>
    <row r="80" ht="18" customHeight="1" s="55">
      <c r="A80" s="88" t="inlineStr">
        <is>
          <t>DI833</t>
        </is>
      </c>
      <c r="B80" s="86" t="n">
        <v>18</v>
      </c>
      <c r="C80" s="88" t="inlineStr">
        <is>
          <t>04:25:24</t>
        </is>
      </c>
      <c r="D80" s="86" t="n">
        <v>10</v>
      </c>
      <c r="E80" s="86" t="n">
        <v>11</v>
      </c>
      <c r="F80" s="86" t="n">
        <v>4</v>
      </c>
      <c r="G80" s="86">
        <f>D80+E80+F80</f>
        <v/>
      </c>
      <c r="H80" s="102">
        <f>IF(G80&gt;0, D80/G80, 0)</f>
        <v/>
      </c>
      <c r="I80" s="103">
        <f>IF(G80&gt;0, (D80-E80)/G80, 0)</f>
        <v/>
      </c>
    </row>
    <row r="81" ht="18" customHeight="1" s="55">
      <c r="A81" s="85" t="inlineStr">
        <is>
          <t>DI833</t>
        </is>
      </c>
      <c r="B81" s="83" t="n">
        <v>19</v>
      </c>
      <c r="C81" s="85" t="inlineStr">
        <is>
          <t>04:25:49</t>
        </is>
      </c>
      <c r="D81" s="83" t="n">
        <v>15</v>
      </c>
      <c r="E81" s="83" t="n">
        <v>9</v>
      </c>
      <c r="F81" s="83" t="n">
        <v>7</v>
      </c>
      <c r="G81" s="83">
        <f>D81+E81+F81</f>
        <v/>
      </c>
      <c r="H81" s="100">
        <f>IF(G81&gt;0, D81/G81, 0)</f>
        <v/>
      </c>
      <c r="I81" s="101">
        <f>IF(G81&gt;0, (D81-E81)/G81, 0)</f>
        <v/>
      </c>
    </row>
    <row r="82" ht="18" customHeight="1" s="55">
      <c r="A82" s="88" t="inlineStr">
        <is>
          <t>DI833</t>
        </is>
      </c>
      <c r="B82" s="86" t="n">
        <v>20</v>
      </c>
      <c r="C82" s="88" t="inlineStr">
        <is>
          <t>04:26:49</t>
        </is>
      </c>
      <c r="D82" s="86" t="n">
        <v>5</v>
      </c>
      <c r="E82" s="86" t="n">
        <v>3</v>
      </c>
      <c r="F82" s="86" t="n">
        <v>1</v>
      </c>
      <c r="G82" s="86">
        <f>D82+E82+F82</f>
        <v/>
      </c>
      <c r="H82" s="102">
        <f>IF(G82&gt;0, D82/G82, 0)</f>
        <v/>
      </c>
      <c r="I82" s="103">
        <f>IF(G82&gt;0, (D82-E82)/G82, 0)</f>
        <v/>
      </c>
    </row>
    <row r="83" ht="18" customHeight="1" s="55">
      <c r="A83" s="85" t="inlineStr">
        <is>
          <t>DI833</t>
        </is>
      </c>
      <c r="B83" s="83" t="n">
        <v>21</v>
      </c>
      <c r="C83" s="85" t="inlineStr">
        <is>
          <t>04:27:42</t>
        </is>
      </c>
      <c r="D83" s="83" t="n">
        <v>8</v>
      </c>
      <c r="E83" s="83" t="n">
        <v>10</v>
      </c>
      <c r="F83" s="83" t="n">
        <v>5</v>
      </c>
      <c r="G83" s="83">
        <f>D83+E83+F83</f>
        <v/>
      </c>
      <c r="H83" s="100">
        <f>IF(G83&gt;0, D83/G83, 0)</f>
        <v/>
      </c>
      <c r="I83" s="101">
        <f>IF(G83&gt;0, (D83-E83)/G83, 0)</f>
        <v/>
      </c>
    </row>
    <row r="84" ht="18" customHeight="1" s="55">
      <c r="A84" s="88" t="inlineStr">
        <is>
          <t>DI833</t>
        </is>
      </c>
      <c r="B84" s="86" t="n">
        <v>22</v>
      </c>
      <c r="C84" s="88" t="inlineStr">
        <is>
          <t>04:29:00</t>
        </is>
      </c>
      <c r="D84" s="86" t="n">
        <v>3</v>
      </c>
      <c r="E84" s="86" t="n">
        <v>2</v>
      </c>
      <c r="F84" s="86" t="n">
        <v>2</v>
      </c>
      <c r="G84" s="86">
        <f>D84+E84+F84</f>
        <v/>
      </c>
      <c r="H84" s="102">
        <f>IF(G84&gt;0, D84/G84, 0)</f>
        <v/>
      </c>
      <c r="I84" s="103">
        <f>IF(G84&gt;0, (D84-E84)/G84, 0)</f>
        <v/>
      </c>
    </row>
    <row r="85" ht="18" customHeight="1" s="55">
      <c r="A85" s="85" t="inlineStr">
        <is>
          <t>DI833</t>
        </is>
      </c>
      <c r="B85" s="83" t="n">
        <v>23</v>
      </c>
      <c r="C85" s="85" t="inlineStr">
        <is>
          <t>04:29:08</t>
        </is>
      </c>
      <c r="D85" s="83" t="n">
        <v>7</v>
      </c>
      <c r="E85" s="83" t="n">
        <v>5</v>
      </c>
      <c r="F85" s="83" t="n">
        <v>4</v>
      </c>
      <c r="G85" s="83">
        <f>D85+E85+F85</f>
        <v/>
      </c>
      <c r="H85" s="100">
        <f>IF(G85&gt;0, D85/G85, 0)</f>
        <v/>
      </c>
      <c r="I85" s="101">
        <f>IF(G85&gt;0, (D85-E85)/G85, 0)</f>
        <v/>
      </c>
    </row>
    <row r="86" ht="18" customHeight="1" s="55">
      <c r="A86" s="88" t="inlineStr">
        <is>
          <t>DI833</t>
        </is>
      </c>
      <c r="B86" s="86" t="n">
        <v>24</v>
      </c>
      <c r="C86" s="88" t="inlineStr">
        <is>
          <t>04:30:26</t>
        </is>
      </c>
      <c r="D86" s="86" t="n">
        <v>8</v>
      </c>
      <c r="E86" s="86" t="n">
        <v>5</v>
      </c>
      <c r="F86" s="86" t="n">
        <v>10</v>
      </c>
      <c r="G86" s="86">
        <f>D86+E86+F86</f>
        <v/>
      </c>
      <c r="H86" s="102">
        <f>IF(G86&gt;0, D86/G86, 0)</f>
        <v/>
      </c>
      <c r="I86" s="103">
        <f>IF(G86&gt;0, (D86-E86)/G86, 0)</f>
        <v/>
      </c>
    </row>
    <row r="87" ht="18" customHeight="1" s="55">
      <c r="A87" s="85" t="inlineStr">
        <is>
          <t>DI833</t>
        </is>
      </c>
      <c r="B87" s="83" t="n">
        <v>25</v>
      </c>
      <c r="C87" s="85" t="inlineStr">
        <is>
          <t>04:31:00</t>
        </is>
      </c>
      <c r="D87" s="83" t="n">
        <v>4</v>
      </c>
      <c r="E87" s="83" t="n">
        <v>9</v>
      </c>
      <c r="F87" s="83" t="n">
        <v>0</v>
      </c>
      <c r="G87" s="83">
        <f>D87+E87+F87</f>
        <v/>
      </c>
      <c r="H87" s="100">
        <f>IF(G87&gt;0, D87/G87, 0)</f>
        <v/>
      </c>
      <c r="I87" s="101">
        <f>IF(G87&gt;0, (D87-E87)/G87, 0)</f>
        <v/>
      </c>
    </row>
    <row r="88" ht="18" customHeight="1" s="55">
      <c r="A88" s="88" t="inlineStr">
        <is>
          <t>DI833</t>
        </is>
      </c>
      <c r="B88" s="86" t="n">
        <v>26</v>
      </c>
      <c r="C88" s="88" t="inlineStr">
        <is>
          <t>04:34:28</t>
        </is>
      </c>
      <c r="D88" s="86" t="n">
        <v>8</v>
      </c>
      <c r="E88" s="86" t="n">
        <v>12</v>
      </c>
      <c r="F88" s="86" t="n">
        <v>9</v>
      </c>
      <c r="G88" s="86">
        <f>D88+E88+F88</f>
        <v/>
      </c>
      <c r="H88" s="102">
        <f>IF(G88&gt;0, D88/G88, 0)</f>
        <v/>
      </c>
      <c r="I88" s="103">
        <f>IF(G88&gt;0, (D88-E88)/G88, 0)</f>
        <v/>
      </c>
    </row>
    <row r="89" ht="18" customHeight="1" s="55">
      <c r="A89" s="85" t="inlineStr">
        <is>
          <t>DI833</t>
        </is>
      </c>
      <c r="B89" s="83" t="n">
        <v>27</v>
      </c>
      <c r="C89" s="85" t="inlineStr">
        <is>
          <t>04:34:36</t>
        </is>
      </c>
      <c r="D89" s="83" t="n">
        <v>11</v>
      </c>
      <c r="E89" s="83" t="n">
        <v>9</v>
      </c>
      <c r="F89" s="83" t="n">
        <v>8</v>
      </c>
      <c r="G89" s="83">
        <f>D89+E89+F89</f>
        <v/>
      </c>
      <c r="H89" s="100">
        <f>IF(G89&gt;0, D89/G89, 0)</f>
        <v/>
      </c>
      <c r="I89" s="101">
        <f>IF(G89&gt;0, (D89-E89)/G89, 0)</f>
        <v/>
      </c>
    </row>
    <row r="90" ht="18" customHeight="1" s="55">
      <c r="A90" s="88" t="inlineStr">
        <is>
          <t>DI833</t>
        </is>
      </c>
      <c r="B90" s="86" t="n">
        <v>28</v>
      </c>
      <c r="C90" s="88" t="inlineStr">
        <is>
          <t>04:34:56</t>
        </is>
      </c>
      <c r="D90" s="86" t="n">
        <v>19</v>
      </c>
      <c r="E90" s="86" t="n">
        <v>6</v>
      </c>
      <c r="F90" s="86" t="n">
        <v>2</v>
      </c>
      <c r="G90" s="86">
        <f>D90+E90+F90</f>
        <v/>
      </c>
      <c r="H90" s="102">
        <f>IF(G90&gt;0, D90/G90, 0)</f>
        <v/>
      </c>
      <c r="I90" s="103">
        <f>IF(G90&gt;0, (D90-E90)/G90, 0)</f>
        <v/>
      </c>
    </row>
    <row r="91" ht="18" customHeight="1" s="55">
      <c r="A91" s="85" t="inlineStr">
        <is>
          <t>DI833</t>
        </is>
      </c>
      <c r="B91" s="83" t="n">
        <v>29</v>
      </c>
      <c r="C91" s="85" t="inlineStr">
        <is>
          <t>04:35:28</t>
        </is>
      </c>
      <c r="D91" s="83" t="n">
        <v>22</v>
      </c>
      <c r="E91" s="83" t="n">
        <v>1</v>
      </c>
      <c r="F91" s="83" t="n">
        <v>0</v>
      </c>
      <c r="G91" s="83">
        <f>D91+E91+F91</f>
        <v/>
      </c>
      <c r="H91" s="100">
        <f>IF(G91&gt;0, D91/G91, 0)</f>
        <v/>
      </c>
      <c r="I91" s="101">
        <f>IF(G91&gt;0, (D91-E91)/G91, 0)</f>
        <v/>
      </c>
    </row>
    <row r="92" ht="18" customHeight="1" s="55">
      <c r="A92" s="88" t="inlineStr">
        <is>
          <t>DI834</t>
        </is>
      </c>
      <c r="B92" s="86" t="n">
        <v>1</v>
      </c>
      <c r="C92" s="88" t="inlineStr">
        <is>
          <t>11:44:27</t>
        </is>
      </c>
      <c r="D92" s="86" t="n">
        <v>2</v>
      </c>
      <c r="E92" s="86" t="n">
        <v>1</v>
      </c>
      <c r="F92" s="86" t="n">
        <v>1</v>
      </c>
      <c r="G92" s="86">
        <f>D92+E92+F92</f>
        <v/>
      </c>
      <c r="H92" s="102">
        <f>IF(G92&gt;0, D92/G92, 0)</f>
        <v/>
      </c>
      <c r="I92" s="103">
        <f>IF(G92&gt;0, (D92-E92)/G92, 0)</f>
        <v/>
      </c>
    </row>
    <row r="93" ht="18" customHeight="1" s="55">
      <c r="A93" s="85" t="inlineStr">
        <is>
          <t>DI834</t>
        </is>
      </c>
      <c r="B93" s="83" t="n">
        <v>2</v>
      </c>
      <c r="C93" s="85" t="inlineStr">
        <is>
          <t>11:44:44</t>
        </is>
      </c>
      <c r="D93" s="83" t="n">
        <v>1</v>
      </c>
      <c r="E93" s="83" t="n">
        <v>2</v>
      </c>
      <c r="F93" s="83" t="n">
        <v>0</v>
      </c>
      <c r="G93" s="83">
        <f>D93+E93+F93</f>
        <v/>
      </c>
      <c r="H93" s="100">
        <f>IF(G93&gt;0, D93/G93, 0)</f>
        <v/>
      </c>
      <c r="I93" s="101">
        <f>IF(G93&gt;0, (D93-E93)/G93, 0)</f>
        <v/>
      </c>
    </row>
    <row r="94" ht="18" customHeight="1" s="55">
      <c r="A94" s="88" t="inlineStr">
        <is>
          <t>DI834</t>
        </is>
      </c>
      <c r="B94" s="86" t="n">
        <v>3</v>
      </c>
      <c r="C94" s="88" t="inlineStr">
        <is>
          <t>11:45:19</t>
        </is>
      </c>
      <c r="D94" s="86" t="n">
        <v>2</v>
      </c>
      <c r="E94" s="86" t="n">
        <v>0</v>
      </c>
      <c r="F94" s="86" t="n">
        <v>1</v>
      </c>
      <c r="G94" s="86">
        <f>D94+E94+F94</f>
        <v/>
      </c>
      <c r="H94" s="102">
        <f>IF(G94&gt;0, D94/G94, 0)</f>
        <v/>
      </c>
      <c r="I94" s="103">
        <f>IF(G94&gt;0, (D94-E94)/G94, 0)</f>
        <v/>
      </c>
    </row>
    <row r="95" ht="18" customHeight="1" s="55">
      <c r="A95" s="85" t="inlineStr">
        <is>
          <t>DI834</t>
        </is>
      </c>
      <c r="B95" s="83" t="n">
        <v>4</v>
      </c>
      <c r="C95" s="85" t="inlineStr">
        <is>
          <t>11:45:53</t>
        </is>
      </c>
      <c r="D95" s="83" t="n">
        <v>4</v>
      </c>
      <c r="E95" s="83" t="n">
        <v>2</v>
      </c>
      <c r="F95" s="83" t="n">
        <v>0</v>
      </c>
      <c r="G95" s="83">
        <f>D95+E95+F95</f>
        <v/>
      </c>
      <c r="H95" s="100">
        <f>IF(G95&gt;0, D95/G95, 0)</f>
        <v/>
      </c>
      <c r="I95" s="101">
        <f>IF(G95&gt;0, (D95-E95)/G95, 0)</f>
        <v/>
      </c>
    </row>
    <row r="96" ht="18" customHeight="1" s="55">
      <c r="A96" s="88" t="inlineStr">
        <is>
          <t>DI834</t>
        </is>
      </c>
      <c r="B96" s="86" t="n">
        <v>5</v>
      </c>
      <c r="C96" s="88" t="inlineStr">
        <is>
          <t>11:46:36</t>
        </is>
      </c>
      <c r="D96" s="86" t="n">
        <v>2</v>
      </c>
      <c r="E96" s="86" t="n">
        <v>2</v>
      </c>
      <c r="F96" s="86" t="n">
        <v>0</v>
      </c>
      <c r="G96" s="86">
        <f>D96+E96+F96</f>
        <v/>
      </c>
      <c r="H96" s="102">
        <f>IF(G96&gt;0, D96/G96, 0)</f>
        <v/>
      </c>
      <c r="I96" s="103">
        <f>IF(G96&gt;0, (D96-E96)/G96, 0)</f>
        <v/>
      </c>
    </row>
    <row r="97" ht="18" customHeight="1" s="55">
      <c r="A97" s="85" t="inlineStr">
        <is>
          <t>DI834</t>
        </is>
      </c>
      <c r="B97" s="83" t="n">
        <v>6</v>
      </c>
      <c r="C97" s="85" t="inlineStr">
        <is>
          <t>11:47:20</t>
        </is>
      </c>
      <c r="D97" s="83" t="n">
        <v>1</v>
      </c>
      <c r="E97" s="83" t="n">
        <v>0</v>
      </c>
      <c r="F97" s="83" t="n">
        <v>0</v>
      </c>
      <c r="G97" s="83">
        <f>D97+E97+F97</f>
        <v/>
      </c>
      <c r="H97" s="100">
        <f>IF(G97&gt;0, D97/G97, 0)</f>
        <v/>
      </c>
      <c r="I97" s="101">
        <f>IF(G97&gt;0, (D97-E97)/G97, 0)</f>
        <v/>
      </c>
    </row>
    <row r="98" ht="18" customHeight="1" s="55">
      <c r="A98" s="88" t="inlineStr">
        <is>
          <t>DI834</t>
        </is>
      </c>
      <c r="B98" s="86" t="n">
        <v>7</v>
      </c>
      <c r="C98" s="88" t="inlineStr">
        <is>
          <t>11:47:25</t>
        </is>
      </c>
      <c r="D98" s="86" t="n">
        <v>1</v>
      </c>
      <c r="E98" s="86" t="n">
        <v>0</v>
      </c>
      <c r="F98" s="86" t="n">
        <v>0</v>
      </c>
      <c r="G98" s="86">
        <f>D98+E98+F98</f>
        <v/>
      </c>
      <c r="H98" s="102">
        <f>IF(G98&gt;0, D98/G98, 0)</f>
        <v/>
      </c>
      <c r="I98" s="103">
        <f>IF(G98&gt;0, (D98-E98)/G98, 0)</f>
        <v/>
      </c>
    </row>
    <row r="99" ht="18" customHeight="1" s="55">
      <c r="A99" s="85" t="inlineStr">
        <is>
          <t>DI834</t>
        </is>
      </c>
      <c r="B99" s="83" t="n">
        <v>8</v>
      </c>
      <c r="C99" s="85" t="inlineStr">
        <is>
          <t>11:47:28</t>
        </is>
      </c>
      <c r="D99" s="83" t="n">
        <v>1</v>
      </c>
      <c r="E99" s="83" t="n">
        <v>0</v>
      </c>
      <c r="F99" s="83" t="n">
        <v>0</v>
      </c>
      <c r="G99" s="83">
        <f>D99+E99+F99</f>
        <v/>
      </c>
      <c r="H99" s="100">
        <f>IF(G99&gt;0, D99/G99, 0)</f>
        <v/>
      </c>
      <c r="I99" s="101">
        <f>IF(G99&gt;0, (D99-E99)/G99, 0)</f>
        <v/>
      </c>
    </row>
    <row r="100" ht="18" customHeight="1" s="55">
      <c r="A100" s="88" t="inlineStr">
        <is>
          <t>DI834</t>
        </is>
      </c>
      <c r="B100" s="86" t="n">
        <v>9</v>
      </c>
      <c r="C100" s="88" t="inlineStr">
        <is>
          <t>11:48:03</t>
        </is>
      </c>
      <c r="D100" s="86" t="n">
        <v>6</v>
      </c>
      <c r="E100" s="86" t="n">
        <v>1</v>
      </c>
      <c r="F100" s="86" t="n">
        <v>0</v>
      </c>
      <c r="G100" s="86">
        <f>D100+E100+F100</f>
        <v/>
      </c>
      <c r="H100" s="102">
        <f>IF(G100&gt;0, D100/G100, 0)</f>
        <v/>
      </c>
      <c r="I100" s="103">
        <f>IF(G100&gt;0, (D100-E100)/G100, 0)</f>
        <v/>
      </c>
    </row>
    <row r="101" ht="18" customHeight="1" s="55">
      <c r="A101" s="85" t="inlineStr">
        <is>
          <t>DI834</t>
        </is>
      </c>
      <c r="B101" s="83" t="n">
        <v>10</v>
      </c>
      <c r="C101" s="85" t="inlineStr">
        <is>
          <t>11:48:06</t>
        </is>
      </c>
      <c r="D101" s="83" t="n">
        <v>6</v>
      </c>
      <c r="E101" s="83" t="n">
        <v>0</v>
      </c>
      <c r="F101" s="83" t="n">
        <v>1</v>
      </c>
      <c r="G101" s="83">
        <f>D101+E101+F101</f>
        <v/>
      </c>
      <c r="H101" s="100">
        <f>IF(G101&gt;0, D101/G101, 0)</f>
        <v/>
      </c>
      <c r="I101" s="101">
        <f>IF(G101&gt;0, (D101-E101)/G101, 0)</f>
        <v/>
      </c>
    </row>
    <row r="102" ht="18" customHeight="1" s="55">
      <c r="A102" s="88" t="inlineStr">
        <is>
          <t>DI834</t>
        </is>
      </c>
      <c r="B102" s="86" t="n">
        <v>11</v>
      </c>
      <c r="C102" s="88" t="inlineStr">
        <is>
          <t>11:48:09</t>
        </is>
      </c>
      <c r="D102" s="86" t="n">
        <v>5</v>
      </c>
      <c r="E102" s="86" t="n">
        <v>2</v>
      </c>
      <c r="F102" s="86" t="n">
        <v>2</v>
      </c>
      <c r="G102" s="86">
        <f>D102+E102+F102</f>
        <v/>
      </c>
      <c r="H102" s="102">
        <f>IF(G102&gt;0, D102/G102, 0)</f>
        <v/>
      </c>
      <c r="I102" s="103">
        <f>IF(G102&gt;0, (D102-E102)/G102, 0)</f>
        <v/>
      </c>
    </row>
    <row r="103" ht="18" customHeight="1" s="55">
      <c r="A103" s="85" t="inlineStr">
        <is>
          <t>DI834</t>
        </is>
      </c>
      <c r="B103" s="83" t="n">
        <v>12</v>
      </c>
      <c r="C103" s="85" t="inlineStr">
        <is>
          <t>11:48:12</t>
        </is>
      </c>
      <c r="D103" s="83" t="n">
        <v>4</v>
      </c>
      <c r="E103" s="83" t="n">
        <v>1</v>
      </c>
      <c r="F103" s="83" t="n">
        <v>4</v>
      </c>
      <c r="G103" s="83">
        <f>D103+E103+F103</f>
        <v/>
      </c>
      <c r="H103" s="100">
        <f>IF(G103&gt;0, D103/G103, 0)</f>
        <v/>
      </c>
      <c r="I103" s="101">
        <f>IF(G103&gt;0, (D103-E103)/G103, 0)</f>
        <v/>
      </c>
    </row>
    <row r="104" ht="18" customHeight="1" s="55">
      <c r="A104" s="88" t="inlineStr">
        <is>
          <t>DI834</t>
        </is>
      </c>
      <c r="B104" s="86" t="n">
        <v>13</v>
      </c>
      <c r="C104" s="88" t="inlineStr">
        <is>
          <t>11:48:18</t>
        </is>
      </c>
      <c r="D104" s="86" t="n">
        <v>1</v>
      </c>
      <c r="E104" s="86" t="n">
        <v>1</v>
      </c>
      <c r="F104" s="86" t="n">
        <v>2</v>
      </c>
      <c r="G104" s="86">
        <f>D104+E104+F104</f>
        <v/>
      </c>
      <c r="H104" s="102">
        <f>IF(G104&gt;0, D104/G104, 0)</f>
        <v/>
      </c>
      <c r="I104" s="103">
        <f>IF(G104&gt;0, (D104-E104)/G104, 0)</f>
        <v/>
      </c>
    </row>
    <row r="105" ht="18" customHeight="1" s="55">
      <c r="A105" s="85" t="inlineStr">
        <is>
          <t>DI834</t>
        </is>
      </c>
      <c r="B105" s="83" t="n">
        <v>14</v>
      </c>
      <c r="C105" s="85" t="inlineStr">
        <is>
          <t>11:49:47</t>
        </is>
      </c>
      <c r="D105" s="83" t="n">
        <v>5</v>
      </c>
      <c r="E105" s="83" t="n">
        <v>1</v>
      </c>
      <c r="F105" s="83" t="n">
        <v>1</v>
      </c>
      <c r="G105" s="83">
        <f>D105+E105+F105</f>
        <v/>
      </c>
      <c r="H105" s="100">
        <f>IF(G105&gt;0, D105/G105, 0)</f>
        <v/>
      </c>
      <c r="I105" s="101">
        <f>IF(G105&gt;0, (D105-E105)/G105, 0)</f>
        <v/>
      </c>
    </row>
    <row r="106" ht="18" customHeight="1" s="55">
      <c r="A106" s="88" t="inlineStr">
        <is>
          <t>DI834</t>
        </is>
      </c>
      <c r="B106" s="86" t="n">
        <v>15</v>
      </c>
      <c r="C106" s="88" t="inlineStr">
        <is>
          <t>11:51:13</t>
        </is>
      </c>
      <c r="D106" s="86" t="n">
        <v>9</v>
      </c>
      <c r="E106" s="86" t="n">
        <v>2</v>
      </c>
      <c r="F106" s="86" t="n">
        <v>0</v>
      </c>
      <c r="G106" s="86">
        <f>D106+E106+F106</f>
        <v/>
      </c>
      <c r="H106" s="102">
        <f>IF(G106&gt;0, D106/G106, 0)</f>
        <v/>
      </c>
      <c r="I106" s="103">
        <f>IF(G106&gt;0, (D106-E106)/G106, 0)</f>
        <v/>
      </c>
    </row>
    <row r="107" ht="18" customHeight="1" s="55">
      <c r="A107" s="85" t="inlineStr">
        <is>
          <t>DI834</t>
        </is>
      </c>
      <c r="B107" s="83" t="n">
        <v>16</v>
      </c>
      <c r="C107" s="85" t="inlineStr">
        <is>
          <t>11:51:30</t>
        </is>
      </c>
      <c r="D107" s="83" t="n">
        <v>8</v>
      </c>
      <c r="E107" s="83" t="n">
        <v>1</v>
      </c>
      <c r="F107" s="83" t="n">
        <v>0</v>
      </c>
      <c r="G107" s="83">
        <f>D107+E107+F107</f>
        <v/>
      </c>
      <c r="H107" s="100">
        <f>IF(G107&gt;0, D107/G107, 0)</f>
        <v/>
      </c>
      <c r="I107" s="101">
        <f>IF(G107&gt;0, (D107-E107)/G107, 0)</f>
        <v/>
      </c>
    </row>
    <row r="108" ht="18" customHeight="1" s="55">
      <c r="A108" s="88" t="inlineStr">
        <is>
          <t>DI834</t>
        </is>
      </c>
      <c r="B108" s="86" t="n">
        <v>17</v>
      </c>
      <c r="C108" s="88" t="inlineStr">
        <is>
          <t>11:51:39</t>
        </is>
      </c>
      <c r="D108" s="86" t="n">
        <v>6</v>
      </c>
      <c r="E108" s="86" t="n">
        <v>3</v>
      </c>
      <c r="F108" s="86" t="n">
        <v>0</v>
      </c>
      <c r="G108" s="86">
        <f>D108+E108+F108</f>
        <v/>
      </c>
      <c r="H108" s="102">
        <f>IF(G108&gt;0, D108/G108, 0)</f>
        <v/>
      </c>
      <c r="I108" s="103">
        <f>IF(G108&gt;0, (D108-E108)/G108, 0)</f>
        <v/>
      </c>
    </row>
    <row r="109" ht="18" customHeight="1" s="55">
      <c r="A109" s="85" t="inlineStr">
        <is>
          <t>DI834</t>
        </is>
      </c>
      <c r="B109" s="83" t="n">
        <v>18</v>
      </c>
      <c r="C109" s="85" t="inlineStr">
        <is>
          <t>11:51:48</t>
        </is>
      </c>
      <c r="D109" s="83" t="n">
        <v>1</v>
      </c>
      <c r="E109" s="83" t="n">
        <v>1</v>
      </c>
      <c r="F109" s="83" t="n">
        <v>0</v>
      </c>
      <c r="G109" s="83">
        <f>D109+E109+F109</f>
        <v/>
      </c>
      <c r="H109" s="100">
        <f>IF(G109&gt;0, D109/G109, 0)</f>
        <v/>
      </c>
      <c r="I109" s="101">
        <f>IF(G109&gt;0, (D109-E109)/G109, 0)</f>
        <v/>
      </c>
    </row>
    <row r="110" ht="18" customHeight="1" s="55">
      <c r="A110" s="88" t="inlineStr">
        <is>
          <t>DI834</t>
        </is>
      </c>
      <c r="B110" s="86" t="n">
        <v>19</v>
      </c>
      <c r="C110" s="88" t="inlineStr">
        <is>
          <t>11:52:48</t>
        </is>
      </c>
      <c r="D110" s="86" t="n">
        <v>0</v>
      </c>
      <c r="E110" s="86" t="n">
        <v>1</v>
      </c>
      <c r="F110" s="86" t="n">
        <v>0</v>
      </c>
      <c r="G110" s="86">
        <f>D110+E110+F110</f>
        <v/>
      </c>
      <c r="H110" s="102">
        <f>IF(G110&gt;0, D110/G110, 0)</f>
        <v/>
      </c>
      <c r="I110" s="103">
        <f>IF(G110&gt;0, (D110-E110)/G110, 0)</f>
        <v/>
      </c>
    </row>
    <row r="111" ht="18" customHeight="1" s="55">
      <c r="A111" s="85" t="inlineStr">
        <is>
          <t>DI834</t>
        </is>
      </c>
      <c r="B111" s="83" t="n">
        <v>20</v>
      </c>
      <c r="C111" s="85" t="inlineStr">
        <is>
          <t>11:53:48</t>
        </is>
      </c>
      <c r="D111" s="83" t="n">
        <v>4</v>
      </c>
      <c r="E111" s="83" t="n">
        <v>3</v>
      </c>
      <c r="F111" s="83" t="n">
        <v>1</v>
      </c>
      <c r="G111" s="83">
        <f>D111+E111+F111</f>
        <v/>
      </c>
      <c r="H111" s="100">
        <f>IF(G111&gt;0, D111/G111, 0)</f>
        <v/>
      </c>
      <c r="I111" s="101">
        <f>IF(G111&gt;0, (D111-E111)/G111, 0)</f>
        <v/>
      </c>
    </row>
    <row r="112" ht="18" customHeight="1" s="55">
      <c r="A112" s="88" t="inlineStr">
        <is>
          <t>DI834</t>
        </is>
      </c>
      <c r="B112" s="86" t="n">
        <v>21</v>
      </c>
      <c r="C112" s="88" t="inlineStr">
        <is>
          <t>11:54:06</t>
        </is>
      </c>
      <c r="D112" s="86" t="n">
        <v>4</v>
      </c>
      <c r="E112" s="86" t="n">
        <v>3</v>
      </c>
      <c r="F112" s="86" t="n">
        <v>4</v>
      </c>
      <c r="G112" s="86">
        <f>D112+E112+F112</f>
        <v/>
      </c>
      <c r="H112" s="102">
        <f>IF(G112&gt;0, D112/G112, 0)</f>
        <v/>
      </c>
      <c r="I112" s="103">
        <f>IF(G112&gt;0, (D112-E112)/G112, 0)</f>
        <v/>
      </c>
    </row>
    <row r="113" ht="18" customHeight="1" s="55">
      <c r="A113" s="85" t="inlineStr">
        <is>
          <t>DI834</t>
        </is>
      </c>
      <c r="B113" s="83" t="n">
        <v>22</v>
      </c>
      <c r="C113" s="85" t="inlineStr">
        <is>
          <t>11:54:14</t>
        </is>
      </c>
      <c r="D113" s="83" t="n">
        <v>3</v>
      </c>
      <c r="E113" s="83" t="n">
        <v>5</v>
      </c>
      <c r="F113" s="83" t="n">
        <v>1</v>
      </c>
      <c r="G113" s="83">
        <f>D113+E113+F113</f>
        <v/>
      </c>
      <c r="H113" s="100">
        <f>IF(G113&gt;0, D113/G113, 0)</f>
        <v/>
      </c>
      <c r="I113" s="101">
        <f>IF(G113&gt;0, (D113-E113)/G113, 0)</f>
        <v/>
      </c>
    </row>
    <row r="114" ht="18" customHeight="1" s="55">
      <c r="A114" s="88" t="inlineStr">
        <is>
          <t>DI834</t>
        </is>
      </c>
      <c r="B114" s="86" t="n">
        <v>23</v>
      </c>
      <c r="C114" s="88" t="inlineStr">
        <is>
          <t>11:55:15</t>
        </is>
      </c>
      <c r="D114" s="86" t="n">
        <v>1</v>
      </c>
      <c r="E114" s="86" t="n">
        <v>3</v>
      </c>
      <c r="F114" s="86" t="n">
        <v>0</v>
      </c>
      <c r="G114" s="86">
        <f>D114+E114+F114</f>
        <v/>
      </c>
      <c r="H114" s="102">
        <f>IF(G114&gt;0, D114/G114, 0)</f>
        <v/>
      </c>
      <c r="I114" s="103">
        <f>IF(G114&gt;0, (D114-E114)/G114, 0)</f>
        <v/>
      </c>
    </row>
    <row r="115" ht="18" customHeight="1" s="55">
      <c r="A115" s="85" t="inlineStr">
        <is>
          <t>DI834</t>
        </is>
      </c>
      <c r="B115" s="83" t="n">
        <v>24</v>
      </c>
      <c r="C115" s="85" t="inlineStr">
        <is>
          <t>11:56:07</t>
        </is>
      </c>
      <c r="D115" s="83" t="n">
        <v>13</v>
      </c>
      <c r="E115" s="83" t="n">
        <v>4</v>
      </c>
      <c r="F115" s="83" t="n">
        <v>5</v>
      </c>
      <c r="G115" s="83">
        <f>D115+E115+F115</f>
        <v/>
      </c>
      <c r="H115" s="100">
        <f>IF(G115&gt;0, D115/G115, 0)</f>
        <v/>
      </c>
      <c r="I115" s="101">
        <f>IF(G115&gt;0, (D115-E115)/G115, 0)</f>
        <v/>
      </c>
    </row>
    <row r="116" ht="18" customHeight="1" s="55">
      <c r="A116" s="88" t="inlineStr">
        <is>
          <t>DI834</t>
        </is>
      </c>
      <c r="B116" s="86" t="n">
        <v>25</v>
      </c>
      <c r="C116" s="88" t="inlineStr">
        <is>
          <t>11:56:24</t>
        </is>
      </c>
      <c r="D116" s="86" t="n">
        <v>13</v>
      </c>
      <c r="E116" s="86" t="n">
        <v>2</v>
      </c>
      <c r="F116" s="86" t="n">
        <v>2</v>
      </c>
      <c r="G116" s="86">
        <f>D116+E116+F116</f>
        <v/>
      </c>
      <c r="H116" s="102">
        <f>IF(G116&gt;0, D116/G116, 0)</f>
        <v/>
      </c>
      <c r="I116" s="103">
        <f>IF(G116&gt;0, (D116-E116)/G116, 0)</f>
        <v/>
      </c>
    </row>
    <row r="117" ht="18" customHeight="1" s="55">
      <c r="A117" s="85" t="inlineStr">
        <is>
          <t>DI834</t>
        </is>
      </c>
      <c r="B117" s="83" t="n">
        <v>26</v>
      </c>
      <c r="C117" s="85" t="inlineStr">
        <is>
          <t>11:56:41</t>
        </is>
      </c>
      <c r="D117" s="83" t="n">
        <v>12</v>
      </c>
      <c r="E117" s="83" t="n">
        <v>2</v>
      </c>
      <c r="F117" s="83" t="n">
        <v>1</v>
      </c>
      <c r="G117" s="83">
        <f>D117+E117+F117</f>
        <v/>
      </c>
      <c r="H117" s="100">
        <f>IF(G117&gt;0, D117/G117, 0)</f>
        <v/>
      </c>
      <c r="I117" s="101">
        <f>IF(G117&gt;0, (D117-E117)/G117, 0)</f>
        <v/>
      </c>
    </row>
    <row r="118" ht="18" customHeight="1" s="55">
      <c r="A118" s="88" t="inlineStr">
        <is>
          <t>DI834</t>
        </is>
      </c>
      <c r="B118" s="86" t="n">
        <v>27</v>
      </c>
      <c r="C118" s="88" t="inlineStr">
        <is>
          <t>11:57:24</t>
        </is>
      </c>
      <c r="D118" s="86" t="n">
        <v>0</v>
      </c>
      <c r="E118" s="86" t="n">
        <v>4</v>
      </c>
      <c r="F118" s="86" t="n">
        <v>0</v>
      </c>
      <c r="G118" s="86">
        <f>D118+E118+F118</f>
        <v/>
      </c>
      <c r="H118" s="102">
        <f>IF(G118&gt;0, D118/G118, 0)</f>
        <v/>
      </c>
      <c r="I118" s="103">
        <f>IF(G118&gt;0, (D118-E118)/G118, 0)</f>
        <v/>
      </c>
    </row>
    <row r="119" ht="18" customHeight="1" s="55">
      <c r="A119" s="85" t="inlineStr">
        <is>
          <t>DI834</t>
        </is>
      </c>
      <c r="B119" s="83" t="n">
        <v>28</v>
      </c>
      <c r="C119" s="85" t="inlineStr">
        <is>
          <t>11:57:50</t>
        </is>
      </c>
      <c r="D119" s="83" t="n">
        <v>2</v>
      </c>
      <c r="E119" s="83" t="n">
        <v>4</v>
      </c>
      <c r="F119" s="83" t="n">
        <v>0</v>
      </c>
      <c r="G119" s="83">
        <f>D119+E119+F119</f>
        <v/>
      </c>
      <c r="H119" s="100">
        <f>IF(G119&gt;0, D119/G119, 0)</f>
        <v/>
      </c>
      <c r="I119" s="101">
        <f>IF(G119&gt;0, (D119-E119)/G119, 0)</f>
        <v/>
      </c>
    </row>
    <row r="120" ht="18" customHeight="1" s="55">
      <c r="A120" s="88" t="inlineStr">
        <is>
          <t>DI834</t>
        </is>
      </c>
      <c r="B120" s="86" t="n">
        <v>29</v>
      </c>
      <c r="C120" s="88" t="inlineStr">
        <is>
          <t>11:57:59</t>
        </is>
      </c>
      <c r="D120" s="86" t="n">
        <v>7</v>
      </c>
      <c r="E120" s="86" t="n">
        <v>4</v>
      </c>
      <c r="F120" s="86" t="n">
        <v>1</v>
      </c>
      <c r="G120" s="86">
        <f>D120+E120+F120</f>
        <v/>
      </c>
      <c r="H120" s="102">
        <f>IF(G120&gt;0, D120/G120, 0)</f>
        <v/>
      </c>
      <c r="I120" s="103">
        <f>IF(G120&gt;0, (D120-E120)/G120, 0)</f>
        <v/>
      </c>
    </row>
    <row r="121" ht="18" customHeight="1" s="55">
      <c r="A121" s="85" t="inlineStr">
        <is>
          <t>DI835</t>
        </is>
      </c>
      <c r="B121" s="83" t="n">
        <v>1</v>
      </c>
      <c r="C121" s="85" t="inlineStr">
        <is>
          <t>02:50:04</t>
        </is>
      </c>
      <c r="D121" s="83" t="n">
        <v>1</v>
      </c>
      <c r="E121" s="83" t="n">
        <v>2</v>
      </c>
      <c r="F121" s="83" t="n">
        <v>0</v>
      </c>
      <c r="G121" s="83">
        <f>D121+E121+F121</f>
        <v/>
      </c>
      <c r="H121" s="100">
        <f>IF(G121&gt;0, D121/G121, 0)</f>
        <v/>
      </c>
      <c r="I121" s="101">
        <f>IF(G121&gt;0, (D121-E121)/G121, 0)</f>
        <v/>
      </c>
    </row>
    <row r="122" ht="18" customHeight="1" s="55">
      <c r="A122" s="88" t="inlineStr">
        <is>
          <t>DI835</t>
        </is>
      </c>
      <c r="B122" s="86" t="n">
        <v>2</v>
      </c>
      <c r="C122" s="88" t="inlineStr">
        <is>
          <t>02:50:30</t>
        </is>
      </c>
      <c r="D122" s="86" t="n">
        <v>2</v>
      </c>
      <c r="E122" s="86" t="n">
        <v>1</v>
      </c>
      <c r="F122" s="86" t="n">
        <v>1</v>
      </c>
      <c r="G122" s="86">
        <f>D122+E122+F122</f>
        <v/>
      </c>
      <c r="H122" s="102">
        <f>IF(G122&gt;0, D122/G122, 0)</f>
        <v/>
      </c>
      <c r="I122" s="103">
        <f>IF(G122&gt;0, (D122-E122)/G122, 0)</f>
        <v/>
      </c>
    </row>
    <row r="123" ht="18" customHeight="1" s="55">
      <c r="A123" s="85" t="inlineStr">
        <is>
          <t>DI835</t>
        </is>
      </c>
      <c r="B123" s="83" t="n">
        <v>3</v>
      </c>
      <c r="C123" s="85" t="inlineStr">
        <is>
          <t>02:50:38</t>
        </is>
      </c>
      <c r="D123" s="83" t="n">
        <v>4</v>
      </c>
      <c r="E123" s="83" t="n">
        <v>0</v>
      </c>
      <c r="F123" s="83" t="n">
        <v>0</v>
      </c>
      <c r="G123" s="83">
        <f>D123+E123+F123</f>
        <v/>
      </c>
      <c r="H123" s="100">
        <f>IF(G123&gt;0, D123/G123, 0)</f>
        <v/>
      </c>
      <c r="I123" s="101">
        <f>IF(G123&gt;0, (D123-E123)/G123, 0)</f>
        <v/>
      </c>
    </row>
    <row r="124" ht="18" customHeight="1" s="55">
      <c r="A124" s="88" t="inlineStr">
        <is>
          <t>DI835</t>
        </is>
      </c>
      <c r="B124" s="86" t="n">
        <v>4</v>
      </c>
      <c r="C124" s="88" t="inlineStr">
        <is>
          <t>02:51:04</t>
        </is>
      </c>
      <c r="D124" s="86" t="n">
        <v>3</v>
      </c>
      <c r="E124" s="86" t="n">
        <v>3</v>
      </c>
      <c r="F124" s="86" t="n">
        <v>2</v>
      </c>
      <c r="G124" s="86">
        <f>D124+E124+F124</f>
        <v/>
      </c>
      <c r="H124" s="102">
        <f>IF(G124&gt;0, D124/G124, 0)</f>
        <v/>
      </c>
      <c r="I124" s="103">
        <f>IF(G124&gt;0, (D124-E124)/G124, 0)</f>
        <v/>
      </c>
    </row>
    <row r="125" ht="18" customHeight="1" s="55">
      <c r="A125" s="85" t="inlineStr">
        <is>
          <t>DI835</t>
        </is>
      </c>
      <c r="B125" s="83" t="n">
        <v>5</v>
      </c>
      <c r="C125" s="85" t="inlineStr">
        <is>
          <t>02:51:13</t>
        </is>
      </c>
      <c r="D125" s="83" t="n">
        <v>3</v>
      </c>
      <c r="E125" s="83" t="n">
        <v>3</v>
      </c>
      <c r="F125" s="83" t="n">
        <v>0</v>
      </c>
      <c r="G125" s="83">
        <f>D125+E125+F125</f>
        <v/>
      </c>
      <c r="H125" s="100">
        <f>IF(G125&gt;0, D125/G125, 0)</f>
        <v/>
      </c>
      <c r="I125" s="101">
        <f>IF(G125&gt;0, (D125-E125)/G125, 0)</f>
        <v/>
      </c>
    </row>
    <row r="126" ht="18" customHeight="1" s="55">
      <c r="A126" s="88" t="inlineStr">
        <is>
          <t>DI835</t>
        </is>
      </c>
      <c r="B126" s="86" t="n">
        <v>6</v>
      </c>
      <c r="C126" s="88" t="inlineStr">
        <is>
          <t>02:52:13</t>
        </is>
      </c>
      <c r="D126" s="86" t="n">
        <v>2</v>
      </c>
      <c r="E126" s="86" t="n">
        <v>1</v>
      </c>
      <c r="F126" s="86" t="n">
        <v>1</v>
      </c>
      <c r="G126" s="86">
        <f>D126+E126+F126</f>
        <v/>
      </c>
      <c r="H126" s="102">
        <f>IF(G126&gt;0, D126/G126, 0)</f>
        <v/>
      </c>
      <c r="I126" s="103">
        <f>IF(G126&gt;0, (D126-E126)/G126, 0)</f>
        <v/>
      </c>
    </row>
    <row r="127" ht="18" customHeight="1" s="55">
      <c r="A127" s="85" t="inlineStr">
        <is>
          <t>DI835</t>
        </is>
      </c>
      <c r="B127" s="83" t="n">
        <v>7</v>
      </c>
      <c r="C127" s="85" t="inlineStr">
        <is>
          <t>02:52:22</t>
        </is>
      </c>
      <c r="D127" s="83" t="n">
        <v>2</v>
      </c>
      <c r="E127" s="83" t="n">
        <v>2</v>
      </c>
      <c r="F127" s="83" t="n">
        <v>0</v>
      </c>
      <c r="G127" s="83">
        <f>D127+E127+F127</f>
        <v/>
      </c>
      <c r="H127" s="100">
        <f>IF(G127&gt;0, D127/G127, 0)</f>
        <v/>
      </c>
      <c r="I127" s="101">
        <f>IF(G127&gt;0, (D127-E127)/G127, 0)</f>
        <v/>
      </c>
    </row>
    <row r="128" ht="18" customHeight="1" s="55">
      <c r="A128" s="88" t="inlineStr">
        <is>
          <t>DI835</t>
        </is>
      </c>
      <c r="B128" s="86" t="n">
        <v>8</v>
      </c>
      <c r="C128" s="88" t="inlineStr">
        <is>
          <t>02:53:40</t>
        </is>
      </c>
      <c r="D128" s="86" t="n">
        <v>1</v>
      </c>
      <c r="E128" s="86" t="n">
        <v>1</v>
      </c>
      <c r="F128" s="86" t="n">
        <v>0</v>
      </c>
      <c r="G128" s="86">
        <f>D128+E128+F128</f>
        <v/>
      </c>
      <c r="H128" s="102">
        <f>IF(G128&gt;0, D128/G128, 0)</f>
        <v/>
      </c>
      <c r="I128" s="103">
        <f>IF(G128&gt;0, (D128-E128)/G128, 0)</f>
        <v/>
      </c>
    </row>
    <row r="129" ht="18" customHeight="1" s="55">
      <c r="A129" s="85" t="inlineStr">
        <is>
          <t>DI835</t>
        </is>
      </c>
      <c r="B129" s="83" t="n">
        <v>9</v>
      </c>
      <c r="C129" s="85" t="inlineStr">
        <is>
          <t>02:54:32</t>
        </is>
      </c>
      <c r="D129" s="83" t="n">
        <v>3</v>
      </c>
      <c r="E129" s="83" t="n">
        <v>4</v>
      </c>
      <c r="F129" s="83" t="n">
        <v>0</v>
      </c>
      <c r="G129" s="83">
        <f>D129+E129+F129</f>
        <v/>
      </c>
      <c r="H129" s="100">
        <f>IF(G129&gt;0, D129/G129, 0)</f>
        <v/>
      </c>
      <c r="I129" s="101">
        <f>IF(G129&gt;0, (D129-E129)/G129, 0)</f>
        <v/>
      </c>
    </row>
    <row r="130" ht="18" customHeight="1" s="55">
      <c r="A130" s="88" t="inlineStr">
        <is>
          <t>DI835</t>
        </is>
      </c>
      <c r="B130" s="86" t="n">
        <v>10</v>
      </c>
      <c r="C130" s="88" t="inlineStr">
        <is>
          <t>02:54:40</t>
        </is>
      </c>
      <c r="D130" s="86" t="n">
        <v>7</v>
      </c>
      <c r="E130" s="86" t="n">
        <v>3</v>
      </c>
      <c r="F130" s="86" t="n">
        <v>0</v>
      </c>
      <c r="G130" s="86">
        <f>D130+E130+F130</f>
        <v/>
      </c>
      <c r="H130" s="102">
        <f>IF(G130&gt;0, D130/G130, 0)</f>
        <v/>
      </c>
      <c r="I130" s="103">
        <f>IF(G130&gt;0, (D130-E130)/G130, 0)</f>
        <v/>
      </c>
    </row>
    <row r="131" ht="18" customHeight="1" s="55">
      <c r="A131" s="85" t="inlineStr">
        <is>
          <t>DI835</t>
        </is>
      </c>
      <c r="B131" s="83" t="n">
        <v>11</v>
      </c>
      <c r="C131" s="85" t="inlineStr">
        <is>
          <t>02:56:07</t>
        </is>
      </c>
      <c r="D131" s="83" t="n">
        <v>4</v>
      </c>
      <c r="E131" s="83" t="n">
        <v>4</v>
      </c>
      <c r="F131" s="83" t="n">
        <v>3</v>
      </c>
      <c r="G131" s="83">
        <f>D131+E131+F131</f>
        <v/>
      </c>
      <c r="H131" s="100">
        <f>IF(G131&gt;0, D131/G131, 0)</f>
        <v/>
      </c>
      <c r="I131" s="101">
        <f>IF(G131&gt;0, (D131-E131)/G131, 0)</f>
        <v/>
      </c>
    </row>
    <row r="132" ht="18" customHeight="1" s="55">
      <c r="A132" s="88" t="inlineStr">
        <is>
          <t>DI835</t>
        </is>
      </c>
      <c r="B132" s="86" t="n">
        <v>12</v>
      </c>
      <c r="C132" s="88" t="inlineStr">
        <is>
          <t>02:56:24</t>
        </is>
      </c>
      <c r="D132" s="86" t="n">
        <v>3</v>
      </c>
      <c r="E132" s="86" t="n">
        <v>6</v>
      </c>
      <c r="F132" s="86" t="n">
        <v>1</v>
      </c>
      <c r="G132" s="86">
        <f>D132+E132+F132</f>
        <v/>
      </c>
      <c r="H132" s="102">
        <f>IF(G132&gt;0, D132/G132, 0)</f>
        <v/>
      </c>
      <c r="I132" s="103">
        <f>IF(G132&gt;0, (D132-E132)/G132, 0)</f>
        <v/>
      </c>
    </row>
    <row r="133" ht="18" customHeight="1" s="55">
      <c r="A133" s="85" t="inlineStr">
        <is>
          <t>DI835</t>
        </is>
      </c>
      <c r="B133" s="83" t="n">
        <v>13</v>
      </c>
      <c r="C133" s="85" t="inlineStr">
        <is>
          <t>02:56:41</t>
        </is>
      </c>
      <c r="D133" s="83" t="n">
        <v>9</v>
      </c>
      <c r="E133" s="83" t="n">
        <v>2</v>
      </c>
      <c r="F133" s="83" t="n">
        <v>0</v>
      </c>
      <c r="G133" s="83">
        <f>D133+E133+F133</f>
        <v/>
      </c>
      <c r="H133" s="100">
        <f>IF(G133&gt;0, D133/G133, 0)</f>
        <v/>
      </c>
      <c r="I133" s="101">
        <f>IF(G133&gt;0, (D133-E133)/G133, 0)</f>
        <v/>
      </c>
    </row>
    <row r="134" ht="18" customHeight="1" s="55">
      <c r="A134" s="88" t="inlineStr">
        <is>
          <t>DI835</t>
        </is>
      </c>
      <c r="B134" s="86" t="n">
        <v>14</v>
      </c>
      <c r="C134" s="88" t="inlineStr">
        <is>
          <t>02:57:07</t>
        </is>
      </c>
      <c r="D134" s="86" t="n">
        <v>5</v>
      </c>
      <c r="E134" s="86" t="n">
        <v>2</v>
      </c>
      <c r="F134" s="86" t="n">
        <v>2</v>
      </c>
      <c r="G134" s="86">
        <f>D134+E134+F134</f>
        <v/>
      </c>
      <c r="H134" s="102">
        <f>IF(G134&gt;0, D134/G134, 0)</f>
        <v/>
      </c>
      <c r="I134" s="103">
        <f>IF(G134&gt;0, (D134-E134)/G134, 0)</f>
        <v/>
      </c>
    </row>
    <row r="135" ht="18" customHeight="1" s="55">
      <c r="A135" s="85" t="inlineStr">
        <is>
          <t>DI835</t>
        </is>
      </c>
      <c r="B135" s="83" t="n">
        <v>15</v>
      </c>
      <c r="C135" s="85" t="inlineStr">
        <is>
          <t>02:59:25</t>
        </is>
      </c>
      <c r="D135" s="83" t="n">
        <v>3</v>
      </c>
      <c r="E135" s="83" t="n">
        <v>6</v>
      </c>
      <c r="F135" s="83" t="n">
        <v>1</v>
      </c>
      <c r="G135" s="83">
        <f>D135+E135+F135</f>
        <v/>
      </c>
      <c r="H135" s="100">
        <f>IF(G135&gt;0, D135/G135, 0)</f>
        <v/>
      </c>
      <c r="I135" s="101">
        <f>IF(G135&gt;0, (D135-E135)/G135, 0)</f>
        <v/>
      </c>
    </row>
    <row r="136" ht="18" customHeight="1" s="55">
      <c r="A136" s="88" t="inlineStr">
        <is>
          <t>DI835</t>
        </is>
      </c>
      <c r="B136" s="86" t="n">
        <v>16</v>
      </c>
      <c r="C136" s="88" t="inlineStr">
        <is>
          <t>02:59:34</t>
        </is>
      </c>
      <c r="D136" s="86" t="n">
        <v>4</v>
      </c>
      <c r="E136" s="86" t="n">
        <v>1</v>
      </c>
      <c r="F136" s="86" t="n">
        <v>5</v>
      </c>
      <c r="G136" s="86">
        <f>D136+E136+F136</f>
        <v/>
      </c>
      <c r="H136" s="102">
        <f>IF(G136&gt;0, D136/G136, 0)</f>
        <v/>
      </c>
      <c r="I136" s="103">
        <f>IF(G136&gt;0, (D136-E136)/G136, 0)</f>
        <v/>
      </c>
    </row>
    <row r="137" ht="18" customHeight="1" s="55">
      <c r="A137" s="85" t="inlineStr">
        <is>
          <t>DI835</t>
        </is>
      </c>
      <c r="B137" s="83" t="n">
        <v>17</v>
      </c>
      <c r="C137" s="85" t="inlineStr">
        <is>
          <t>03:00:09</t>
        </is>
      </c>
      <c r="D137" s="83" t="n">
        <v>0</v>
      </c>
      <c r="E137" s="83" t="n">
        <v>6</v>
      </c>
      <c r="F137" s="83" t="n">
        <v>0</v>
      </c>
      <c r="G137" s="83">
        <f>D137+E137+F137</f>
        <v/>
      </c>
      <c r="H137" s="100">
        <f>IF(G137&gt;0, D137/G137, 0)</f>
        <v/>
      </c>
      <c r="I137" s="101">
        <f>IF(G137&gt;0, (D137-E137)/G137, 0)</f>
        <v/>
      </c>
    </row>
    <row r="138" ht="18" customHeight="1" s="55">
      <c r="A138" s="88" t="inlineStr">
        <is>
          <t>DI835</t>
        </is>
      </c>
      <c r="B138" s="86" t="n">
        <v>18</v>
      </c>
      <c r="C138" s="88" t="inlineStr">
        <is>
          <t>03:00:26</t>
        </is>
      </c>
      <c r="D138" s="86" t="n">
        <v>13</v>
      </c>
      <c r="E138" s="86" t="n">
        <v>2</v>
      </c>
      <c r="F138" s="86" t="n">
        <v>0</v>
      </c>
      <c r="G138" s="86">
        <f>D138+E138+F138</f>
        <v/>
      </c>
      <c r="H138" s="102">
        <f>IF(G138&gt;0, D138/G138, 0)</f>
        <v/>
      </c>
      <c r="I138" s="103">
        <f>IF(G138&gt;0, (D138-E138)/G138, 0)</f>
        <v/>
      </c>
    </row>
    <row r="139" ht="18" customHeight="1" s="55">
      <c r="A139" s="85" t="inlineStr">
        <is>
          <t>DI835</t>
        </is>
      </c>
      <c r="B139" s="83" t="n">
        <v>19</v>
      </c>
      <c r="C139" s="85" t="inlineStr">
        <is>
          <t>03:00:52</t>
        </is>
      </c>
      <c r="D139" s="83" t="n">
        <v>13</v>
      </c>
      <c r="E139" s="83" t="n">
        <v>5</v>
      </c>
      <c r="F139" s="83" t="n">
        <v>2</v>
      </c>
      <c r="G139" s="83">
        <f>D139+E139+F139</f>
        <v/>
      </c>
      <c r="H139" s="100">
        <f>IF(G139&gt;0, D139/G139, 0)</f>
        <v/>
      </c>
      <c r="I139" s="101">
        <f>IF(G139&gt;0, (D139-E139)/G139, 0)</f>
        <v/>
      </c>
    </row>
    <row r="140" ht="18" customHeight="1" s="55">
      <c r="A140" s="88" t="inlineStr">
        <is>
          <t>DI835</t>
        </is>
      </c>
      <c r="B140" s="86" t="n">
        <v>20</v>
      </c>
      <c r="C140" s="88" t="inlineStr">
        <is>
          <t>03:01:26</t>
        </is>
      </c>
      <c r="D140" s="86" t="n">
        <v>11</v>
      </c>
      <c r="E140" s="86" t="n">
        <v>7</v>
      </c>
      <c r="F140" s="86" t="n">
        <v>8</v>
      </c>
      <c r="G140" s="86">
        <f>D140+E140+F140</f>
        <v/>
      </c>
      <c r="H140" s="102">
        <f>IF(G140&gt;0, D140/G140, 0)</f>
        <v/>
      </c>
      <c r="I140" s="103">
        <f>IF(G140&gt;0, (D140-E140)/G140, 0)</f>
        <v/>
      </c>
    </row>
    <row r="141" ht="18" customHeight="1" s="55">
      <c r="A141" s="85" t="inlineStr">
        <is>
          <t>DI835</t>
        </is>
      </c>
      <c r="B141" s="83" t="n">
        <v>21</v>
      </c>
      <c r="C141" s="85" t="inlineStr">
        <is>
          <t>03:02:01</t>
        </is>
      </c>
      <c r="D141" s="83" t="n">
        <v>12</v>
      </c>
      <c r="E141" s="83" t="n">
        <v>3</v>
      </c>
      <c r="F141" s="83" t="n">
        <v>5</v>
      </c>
      <c r="G141" s="83">
        <f>D141+E141+F141</f>
        <v/>
      </c>
      <c r="H141" s="100">
        <f>IF(G141&gt;0, D141/G141, 0)</f>
        <v/>
      </c>
      <c r="I141" s="101">
        <f>IF(G141&gt;0, (D141-E141)/G141, 0)</f>
        <v/>
      </c>
    </row>
    <row r="142" ht="18" customHeight="1" s="55">
      <c r="A142" s="88" t="inlineStr">
        <is>
          <t>DI835</t>
        </is>
      </c>
      <c r="B142" s="86" t="n">
        <v>22</v>
      </c>
      <c r="C142" s="88" t="inlineStr">
        <is>
          <t>03:02:27</t>
        </is>
      </c>
      <c r="D142" s="86" t="n">
        <v>3</v>
      </c>
      <c r="E142" s="86" t="n">
        <v>3</v>
      </c>
      <c r="F142" s="86" t="n">
        <v>1</v>
      </c>
      <c r="G142" s="86">
        <f>D142+E142+F142</f>
        <v/>
      </c>
      <c r="H142" s="102">
        <f>IF(G142&gt;0, D142/G142, 0)</f>
        <v/>
      </c>
      <c r="I142" s="103">
        <f>IF(G142&gt;0, (D142-E142)/G142, 0)</f>
        <v/>
      </c>
    </row>
    <row r="143" ht="18" customHeight="1" s="55">
      <c r="A143" s="85" t="inlineStr">
        <is>
          <t>DI835</t>
        </is>
      </c>
      <c r="B143" s="83" t="n">
        <v>23</v>
      </c>
      <c r="C143" s="85" t="inlineStr">
        <is>
          <t>03:02:36</t>
        </is>
      </c>
      <c r="D143" s="83" t="n">
        <v>1</v>
      </c>
      <c r="E143" s="83" t="n">
        <v>5</v>
      </c>
      <c r="F143" s="83" t="n">
        <v>3</v>
      </c>
      <c r="G143" s="83">
        <f>D143+E143+F143</f>
        <v/>
      </c>
      <c r="H143" s="100">
        <f>IF(G143&gt;0, D143/G143, 0)</f>
        <v/>
      </c>
      <c r="I143" s="101">
        <f>IF(G143&gt;0, (D143-E143)/G143, 0)</f>
        <v/>
      </c>
    </row>
    <row r="144" ht="18" customHeight="1" s="55">
      <c r="A144" s="88" t="inlineStr">
        <is>
          <t>DI835</t>
        </is>
      </c>
      <c r="B144" s="86" t="n">
        <v>24</v>
      </c>
      <c r="C144" s="88" t="inlineStr">
        <is>
          <t>03:02:44</t>
        </is>
      </c>
      <c r="D144" s="86" t="n">
        <v>7</v>
      </c>
      <c r="E144" s="86" t="n">
        <v>2</v>
      </c>
      <c r="F144" s="86" t="n">
        <v>0</v>
      </c>
      <c r="G144" s="86">
        <f>D144+E144+F144</f>
        <v/>
      </c>
      <c r="H144" s="102">
        <f>IF(G144&gt;0, D144/G144, 0)</f>
        <v/>
      </c>
      <c r="I144" s="103">
        <f>IF(G144&gt;0, (D144-E144)/G144, 0)</f>
        <v/>
      </c>
    </row>
    <row r="145" ht="18" customHeight="1" s="55">
      <c r="A145" s="85" t="inlineStr">
        <is>
          <t>DI835</t>
        </is>
      </c>
      <c r="B145" s="83" t="n">
        <v>25</v>
      </c>
      <c r="C145" s="85" t="inlineStr">
        <is>
          <t>03:03:27</t>
        </is>
      </c>
      <c r="D145" s="83" t="n">
        <v>0</v>
      </c>
      <c r="E145" s="83" t="n">
        <v>0</v>
      </c>
      <c r="F145" s="83" t="n">
        <v>0</v>
      </c>
      <c r="G145" s="83">
        <f>D145+E145+F145</f>
        <v/>
      </c>
      <c r="H145" s="100">
        <f>IF(G145&gt;0, D145/G145, 0)</f>
        <v/>
      </c>
      <c r="I145" s="101">
        <f>IF(G145&gt;0, (D145-E145)/G145, 0)</f>
        <v/>
      </c>
    </row>
    <row r="146" ht="18" customHeight="1" s="55">
      <c r="A146" s="88" t="inlineStr">
        <is>
          <t>DI835</t>
        </is>
      </c>
      <c r="B146" s="86" t="n">
        <v>26</v>
      </c>
      <c r="C146" s="88" t="inlineStr">
        <is>
          <t>03:03:36</t>
        </is>
      </c>
      <c r="D146" s="86" t="n">
        <v>0</v>
      </c>
      <c r="E146" s="86" t="n">
        <v>4</v>
      </c>
      <c r="F146" s="86" t="n">
        <v>1</v>
      </c>
      <c r="G146" s="86">
        <f>D146+E146+F146</f>
        <v/>
      </c>
      <c r="H146" s="102">
        <f>IF(G146&gt;0, D146/G146, 0)</f>
        <v/>
      </c>
      <c r="I146" s="103">
        <f>IF(G146&gt;0, (D146-E146)/G146, 0)</f>
        <v/>
      </c>
    </row>
    <row r="147" ht="18" customHeight="1" s="55">
      <c r="A147" s="85" t="inlineStr">
        <is>
          <t>DI835</t>
        </is>
      </c>
      <c r="B147" s="83" t="n">
        <v>27</v>
      </c>
      <c r="C147" s="85" t="inlineStr">
        <is>
          <t>03:04:19</t>
        </is>
      </c>
      <c r="D147" s="83" t="n">
        <v>14</v>
      </c>
      <c r="E147" s="83" t="n">
        <v>0</v>
      </c>
      <c r="F147" s="83" t="n">
        <v>4</v>
      </c>
      <c r="G147" s="83">
        <f>D147+E147+F147</f>
        <v/>
      </c>
      <c r="H147" s="100">
        <f>IF(G147&gt;0, D147/G147, 0)</f>
        <v/>
      </c>
      <c r="I147" s="101">
        <f>IF(G147&gt;0, (D147-E147)/G147, 0)</f>
        <v/>
      </c>
    </row>
    <row r="148" ht="18" customHeight="1" s="55">
      <c r="A148" s="88" t="inlineStr">
        <is>
          <t>DI835</t>
        </is>
      </c>
      <c r="B148" s="86" t="n">
        <v>28</v>
      </c>
      <c r="C148" s="88" t="inlineStr">
        <is>
          <t>03:04:45</t>
        </is>
      </c>
      <c r="D148" s="86" t="n">
        <v>2</v>
      </c>
      <c r="E148" s="86" t="n">
        <v>4</v>
      </c>
      <c r="F148" s="86" t="n">
        <v>0</v>
      </c>
      <c r="G148" s="86">
        <f>D148+E148+F148</f>
        <v/>
      </c>
      <c r="H148" s="102">
        <f>IF(G148&gt;0, D148/G148, 0)</f>
        <v/>
      </c>
      <c r="I148" s="103">
        <f>IF(G148&gt;0, (D148-E148)/G148, 0)</f>
        <v/>
      </c>
    </row>
    <row r="149" ht="18" customHeight="1" s="55">
      <c r="A149" s="85" t="inlineStr">
        <is>
          <t>DI835</t>
        </is>
      </c>
      <c r="B149" s="83" t="n">
        <v>29</v>
      </c>
      <c r="C149" s="85" t="inlineStr">
        <is>
          <t>03:05:20</t>
        </is>
      </c>
      <c r="D149" s="83" t="n">
        <v>8</v>
      </c>
      <c r="E149" s="83" t="n">
        <v>4</v>
      </c>
      <c r="F149" s="83" t="n">
        <v>1</v>
      </c>
      <c r="G149" s="83">
        <f>D149+E149+F149</f>
        <v/>
      </c>
      <c r="H149" s="100">
        <f>IF(G149&gt;0, D149/G149, 0)</f>
        <v/>
      </c>
      <c r="I149" s="101">
        <f>IF(G149&gt;0, (D149-E149)/G149, 0)</f>
        <v/>
      </c>
    </row>
    <row r="150" ht="18" customHeight="1" s="55">
      <c r="A150" s="88" t="inlineStr">
        <is>
          <t>DI836</t>
        </is>
      </c>
      <c r="B150" s="86" t="n">
        <v>1</v>
      </c>
      <c r="C150" s="88" t="inlineStr">
        <is>
          <t>03:36:43</t>
        </is>
      </c>
      <c r="D150" s="86" t="n">
        <v>3</v>
      </c>
      <c r="E150" s="86" t="n">
        <v>4</v>
      </c>
      <c r="F150" s="86" t="n">
        <v>0</v>
      </c>
      <c r="G150" s="86">
        <f>D150+E150+F150</f>
        <v/>
      </c>
      <c r="H150" s="102">
        <f>IF(G150&gt;0, D150/G150, 0)</f>
        <v/>
      </c>
      <c r="I150" s="103">
        <f>IF(G150&gt;0, (D150-E150)/G150, 0)</f>
        <v/>
      </c>
    </row>
    <row r="151" ht="18" customHeight="1" s="55">
      <c r="A151" s="85" t="inlineStr">
        <is>
          <t>DI836</t>
        </is>
      </c>
      <c r="B151" s="83" t="n">
        <v>2</v>
      </c>
      <c r="C151" s="85" t="inlineStr">
        <is>
          <t>03:36:52</t>
        </is>
      </c>
      <c r="D151" s="83" t="n">
        <v>6</v>
      </c>
      <c r="E151" s="83" t="n">
        <v>4</v>
      </c>
      <c r="F151" s="83" t="n">
        <v>1</v>
      </c>
      <c r="G151" s="83">
        <f>D151+E151+F151</f>
        <v/>
      </c>
      <c r="H151" s="100">
        <f>IF(G151&gt;0, D151/G151, 0)</f>
        <v/>
      </c>
      <c r="I151" s="101">
        <f>IF(G151&gt;0, (D151-E151)/G151, 0)</f>
        <v/>
      </c>
    </row>
    <row r="152" ht="18" customHeight="1" s="55">
      <c r="A152" s="88" t="inlineStr">
        <is>
          <t>DI836</t>
        </is>
      </c>
      <c r="B152" s="86" t="n">
        <v>3</v>
      </c>
      <c r="C152" s="88" t="inlineStr">
        <is>
          <t>03:37:00</t>
        </is>
      </c>
      <c r="D152" s="86" t="n">
        <v>8</v>
      </c>
      <c r="E152" s="86" t="n">
        <v>3</v>
      </c>
      <c r="F152" s="86" t="n">
        <v>0</v>
      </c>
      <c r="G152" s="86">
        <f>D152+E152+F152</f>
        <v/>
      </c>
      <c r="H152" s="102">
        <f>IF(G152&gt;0, D152/G152, 0)</f>
        <v/>
      </c>
      <c r="I152" s="103">
        <f>IF(G152&gt;0, (D152-E152)/G152, 0)</f>
        <v/>
      </c>
    </row>
    <row r="153" ht="18" customHeight="1" s="55">
      <c r="A153" s="85" t="inlineStr">
        <is>
          <t>DI836</t>
        </is>
      </c>
      <c r="B153" s="83" t="n">
        <v>4</v>
      </c>
      <c r="C153" s="85" t="inlineStr">
        <is>
          <t>03:37:44</t>
        </is>
      </c>
      <c r="D153" s="83" t="n">
        <v>4</v>
      </c>
      <c r="E153" s="83" t="n">
        <v>4</v>
      </c>
      <c r="F153" s="83" t="n">
        <v>4</v>
      </c>
      <c r="G153" s="83">
        <f>D153+E153+F153</f>
        <v/>
      </c>
      <c r="H153" s="100">
        <f>IF(G153&gt;0, D153/G153, 0)</f>
        <v/>
      </c>
      <c r="I153" s="101">
        <f>IF(G153&gt;0, (D153-E153)/G153, 0)</f>
        <v/>
      </c>
    </row>
    <row r="154" ht="18" customHeight="1" s="55">
      <c r="A154" s="88" t="inlineStr">
        <is>
          <t>DI836</t>
        </is>
      </c>
      <c r="B154" s="86" t="n">
        <v>5</v>
      </c>
      <c r="C154" s="88" t="inlineStr">
        <is>
          <t>03:38:10</t>
        </is>
      </c>
      <c r="D154" s="86" t="n">
        <v>6</v>
      </c>
      <c r="E154" s="86" t="n">
        <v>6</v>
      </c>
      <c r="F154" s="86" t="n">
        <v>2</v>
      </c>
      <c r="G154" s="86">
        <f>D154+E154+F154</f>
        <v/>
      </c>
      <c r="H154" s="102">
        <f>IF(G154&gt;0, D154/G154, 0)</f>
        <v/>
      </c>
      <c r="I154" s="103">
        <f>IF(G154&gt;0, (D154-E154)/G154, 0)</f>
        <v/>
      </c>
    </row>
    <row r="155" ht="18" customHeight="1" s="55">
      <c r="A155" s="85" t="inlineStr">
        <is>
          <t>DI836</t>
        </is>
      </c>
      <c r="B155" s="83" t="n">
        <v>6</v>
      </c>
      <c r="C155" s="85" t="inlineStr">
        <is>
          <t>03:38:27</t>
        </is>
      </c>
      <c r="D155" s="83" t="n">
        <v>11</v>
      </c>
      <c r="E155" s="83" t="n">
        <v>3</v>
      </c>
      <c r="F155" s="83" t="n">
        <v>3</v>
      </c>
      <c r="G155" s="83">
        <f>D155+E155+F155</f>
        <v/>
      </c>
      <c r="H155" s="100">
        <f>IF(G155&gt;0, D155/G155, 0)</f>
        <v/>
      </c>
      <c r="I155" s="101">
        <f>IF(G155&gt;0, (D155-E155)/G155, 0)</f>
        <v/>
      </c>
    </row>
    <row r="156" ht="18" customHeight="1" s="55">
      <c r="A156" s="88" t="inlineStr">
        <is>
          <t>DI836</t>
        </is>
      </c>
      <c r="B156" s="86" t="n">
        <v>7</v>
      </c>
      <c r="C156" s="88" t="inlineStr">
        <is>
          <t>03:38:44</t>
        </is>
      </c>
      <c r="D156" s="86" t="n">
        <v>6</v>
      </c>
      <c r="E156" s="86" t="n">
        <v>2</v>
      </c>
      <c r="F156" s="86" t="n">
        <v>2</v>
      </c>
      <c r="G156" s="86">
        <f>D156+E156+F156</f>
        <v/>
      </c>
      <c r="H156" s="102">
        <f>IF(G156&gt;0, D156/G156, 0)</f>
        <v/>
      </c>
      <c r="I156" s="103">
        <f>IF(G156&gt;0, (D156-E156)/G156, 0)</f>
        <v/>
      </c>
    </row>
    <row r="157" ht="18" customHeight="1" s="55">
      <c r="A157" s="85" t="inlineStr">
        <is>
          <t>DI836</t>
        </is>
      </c>
      <c r="B157" s="83" t="n">
        <v>8</v>
      </c>
      <c r="C157" s="85" t="inlineStr">
        <is>
          <t>03:38:50</t>
        </is>
      </c>
      <c r="D157" s="83" t="n">
        <v>4</v>
      </c>
      <c r="E157" s="83" t="n">
        <v>4</v>
      </c>
      <c r="F157" s="83" t="n">
        <v>1</v>
      </c>
      <c r="G157" s="83">
        <f>D157+E157+F157</f>
        <v/>
      </c>
      <c r="H157" s="100">
        <f>IF(G157&gt;0, D157/G157, 0)</f>
        <v/>
      </c>
      <c r="I157" s="101">
        <f>IF(G157&gt;0, (D157-E157)/G157, 0)</f>
        <v/>
      </c>
    </row>
    <row r="158" ht="18" customHeight="1" s="55">
      <c r="A158" s="88" t="inlineStr">
        <is>
          <t>DI836</t>
        </is>
      </c>
      <c r="B158" s="86" t="n">
        <v>9</v>
      </c>
      <c r="C158" s="88" t="inlineStr">
        <is>
          <t>03:39:27</t>
        </is>
      </c>
      <c r="D158" s="86" t="n">
        <v>10</v>
      </c>
      <c r="E158" s="86" t="n">
        <v>4</v>
      </c>
      <c r="F158" s="86" t="n">
        <v>0</v>
      </c>
      <c r="G158" s="86">
        <f>D158+E158+F158</f>
        <v/>
      </c>
      <c r="H158" s="102">
        <f>IF(G158&gt;0, D158/G158, 0)</f>
        <v/>
      </c>
      <c r="I158" s="103">
        <f>IF(G158&gt;0, (D158-E158)/G158, 0)</f>
        <v/>
      </c>
    </row>
    <row r="159" ht="18" customHeight="1" s="55">
      <c r="A159" s="85" t="inlineStr">
        <is>
          <t>DI836</t>
        </is>
      </c>
      <c r="B159" s="83" t="n">
        <v>10</v>
      </c>
      <c r="C159" s="85" t="inlineStr">
        <is>
          <t>03:43:29</t>
        </is>
      </c>
      <c r="D159" s="83" t="n">
        <v>1</v>
      </c>
      <c r="E159" s="83" t="n">
        <v>4</v>
      </c>
      <c r="F159" s="83" t="n">
        <v>0</v>
      </c>
      <c r="G159" s="83">
        <f>D159+E159+F159</f>
        <v/>
      </c>
      <c r="H159" s="100">
        <f>IF(G159&gt;0, D159/G159, 0)</f>
        <v/>
      </c>
      <c r="I159" s="101">
        <f>IF(G159&gt;0, (D159-E159)/G159, 0)</f>
        <v/>
      </c>
    </row>
    <row r="160" ht="18" customHeight="1" s="55">
      <c r="A160" s="88" t="inlineStr">
        <is>
          <t>DI836</t>
        </is>
      </c>
      <c r="B160" s="86" t="n">
        <v>11</v>
      </c>
      <c r="C160" s="88" t="inlineStr">
        <is>
          <t>03:44:21</t>
        </is>
      </c>
      <c r="D160" s="86" t="n">
        <v>3</v>
      </c>
      <c r="E160" s="86" t="n">
        <v>5</v>
      </c>
      <c r="F160" s="86" t="n">
        <v>4</v>
      </c>
      <c r="G160" s="86">
        <f>D160+E160+F160</f>
        <v/>
      </c>
      <c r="H160" s="102">
        <f>IF(G160&gt;0, D160/G160, 0)</f>
        <v/>
      </c>
      <c r="I160" s="103">
        <f>IF(G160&gt;0, (D160-E160)/G160, 0)</f>
        <v/>
      </c>
    </row>
    <row r="161" ht="18" customHeight="1" s="55">
      <c r="A161" s="85" t="inlineStr">
        <is>
          <t>DI836</t>
        </is>
      </c>
      <c r="B161" s="83" t="n">
        <v>12</v>
      </c>
      <c r="C161" s="85" t="inlineStr">
        <is>
          <t>03:44:30</t>
        </is>
      </c>
      <c r="D161" s="83" t="n">
        <v>7</v>
      </c>
      <c r="E161" s="83" t="n">
        <v>6</v>
      </c>
      <c r="F161" s="83" t="n">
        <v>2</v>
      </c>
      <c r="G161" s="83">
        <f>D161+E161+F161</f>
        <v/>
      </c>
      <c r="H161" s="100">
        <f>IF(G161&gt;0, D161/G161, 0)</f>
        <v/>
      </c>
      <c r="I161" s="101">
        <f>IF(G161&gt;0, (D161-E161)/G161, 0)</f>
        <v/>
      </c>
    </row>
    <row r="162" ht="18" customHeight="1" s="55">
      <c r="A162" s="88" t="inlineStr">
        <is>
          <t>DI836</t>
        </is>
      </c>
      <c r="B162" s="86" t="n">
        <v>13</v>
      </c>
      <c r="C162" s="88" t="inlineStr">
        <is>
          <t>03:44:38</t>
        </is>
      </c>
      <c r="D162" s="86" t="n">
        <v>4</v>
      </c>
      <c r="E162" s="86" t="n">
        <v>3</v>
      </c>
      <c r="F162" s="86" t="n">
        <v>6</v>
      </c>
      <c r="G162" s="86">
        <f>D162+E162+F162</f>
        <v/>
      </c>
      <c r="H162" s="102">
        <f>IF(G162&gt;0, D162/G162, 0)</f>
        <v/>
      </c>
      <c r="I162" s="103">
        <f>IF(G162&gt;0, (D162-E162)/G162, 0)</f>
        <v/>
      </c>
    </row>
    <row r="163" ht="18" customHeight="1" s="55">
      <c r="A163" s="85" t="inlineStr">
        <is>
          <t>DI836</t>
        </is>
      </c>
      <c r="B163" s="83" t="n">
        <v>14</v>
      </c>
      <c r="C163" s="85" t="inlineStr">
        <is>
          <t>03:44:47</t>
        </is>
      </c>
      <c r="D163" s="83" t="n">
        <v>6</v>
      </c>
      <c r="E163" s="83" t="n">
        <v>5</v>
      </c>
      <c r="F163" s="83" t="n">
        <v>4</v>
      </c>
      <c r="G163" s="83">
        <f>D163+E163+F163</f>
        <v/>
      </c>
      <c r="H163" s="100">
        <f>IF(G163&gt;0, D163/G163, 0)</f>
        <v/>
      </c>
      <c r="I163" s="101">
        <f>IF(G163&gt;0, (D163-E163)/G163, 0)</f>
        <v/>
      </c>
    </row>
    <row r="164" ht="18" customHeight="1" s="55">
      <c r="A164" s="88" t="inlineStr">
        <is>
          <t>DI836</t>
        </is>
      </c>
      <c r="B164" s="86" t="n">
        <v>15</v>
      </c>
      <c r="C164" s="88" t="inlineStr">
        <is>
          <t>03:44:49</t>
        </is>
      </c>
      <c r="D164" s="86" t="n">
        <v>9</v>
      </c>
      <c r="E164" s="86" t="n">
        <v>5</v>
      </c>
      <c r="F164" s="86" t="n">
        <v>2</v>
      </c>
      <c r="G164" s="86">
        <f>D164+E164+F164</f>
        <v/>
      </c>
      <c r="H164" s="102">
        <f>IF(G164&gt;0, D164/G164, 0)</f>
        <v/>
      </c>
      <c r="I164" s="103">
        <f>IF(G164&gt;0, (D164-E164)/G164, 0)</f>
        <v/>
      </c>
    </row>
    <row r="165" ht="18" customHeight="1" s="55">
      <c r="A165" s="85" t="inlineStr">
        <is>
          <t>DI836</t>
        </is>
      </c>
      <c r="B165" s="83" t="n">
        <v>16</v>
      </c>
      <c r="C165" s="85" t="inlineStr">
        <is>
          <t>03:45:04</t>
        </is>
      </c>
      <c r="D165" s="83" t="n">
        <v>4</v>
      </c>
      <c r="E165" s="83" t="n">
        <v>6</v>
      </c>
      <c r="F165" s="83" t="n">
        <v>3</v>
      </c>
      <c r="G165" s="83">
        <f>D165+E165+F165</f>
        <v/>
      </c>
      <c r="H165" s="100">
        <f>IF(G165&gt;0, D165/G165, 0)</f>
        <v/>
      </c>
      <c r="I165" s="101">
        <f>IF(G165&gt;0, (D165-E165)/G165, 0)</f>
        <v/>
      </c>
    </row>
    <row r="166" ht="18" customHeight="1" s="55">
      <c r="A166" s="88" t="inlineStr">
        <is>
          <t>DI836</t>
        </is>
      </c>
      <c r="B166" s="86" t="n">
        <v>17</v>
      </c>
      <c r="C166" s="88" t="inlineStr">
        <is>
          <t>03:45:22</t>
        </is>
      </c>
      <c r="D166" s="86" t="n">
        <v>4</v>
      </c>
      <c r="E166" s="86" t="n">
        <v>1</v>
      </c>
      <c r="F166" s="86" t="n">
        <v>0</v>
      </c>
      <c r="G166" s="86">
        <f>D166+E166+F166</f>
        <v/>
      </c>
      <c r="H166" s="102">
        <f>IF(G166&gt;0, D166/G166, 0)</f>
        <v/>
      </c>
      <c r="I166" s="103">
        <f>IF(G166&gt;0, (D166-E166)/G166, 0)</f>
        <v/>
      </c>
    </row>
    <row r="167" ht="18" customHeight="1" s="55">
      <c r="A167" s="85" t="inlineStr">
        <is>
          <t>DI836</t>
        </is>
      </c>
      <c r="B167" s="83" t="n">
        <v>18</v>
      </c>
      <c r="C167" s="85" t="inlineStr">
        <is>
          <t>03:46:05</t>
        </is>
      </c>
      <c r="D167" s="83" t="n">
        <v>7</v>
      </c>
      <c r="E167" s="83" t="n">
        <v>4</v>
      </c>
      <c r="F167" s="83" t="n">
        <v>2</v>
      </c>
      <c r="G167" s="83">
        <f>D167+E167+F167</f>
        <v/>
      </c>
      <c r="H167" s="100">
        <f>IF(G167&gt;0, D167/G167, 0)</f>
        <v/>
      </c>
      <c r="I167" s="101">
        <f>IF(G167&gt;0, (D167-E167)/G167, 0)</f>
        <v/>
      </c>
    </row>
    <row r="168" ht="18" customHeight="1" s="55">
      <c r="A168" s="88" t="inlineStr">
        <is>
          <t>DI836</t>
        </is>
      </c>
      <c r="B168" s="86" t="n">
        <v>19</v>
      </c>
      <c r="C168" s="88" t="inlineStr">
        <is>
          <t>03:46:22</t>
        </is>
      </c>
      <c r="D168" s="86" t="n">
        <v>6</v>
      </c>
      <c r="E168" s="86" t="n">
        <v>3</v>
      </c>
      <c r="F168" s="86" t="n">
        <v>2</v>
      </c>
      <c r="G168" s="86">
        <f>D168+E168+F168</f>
        <v/>
      </c>
      <c r="H168" s="102">
        <f>IF(G168&gt;0, D168/G168, 0)</f>
        <v/>
      </c>
      <c r="I168" s="103">
        <f>IF(G168&gt;0, (D168-E168)/G168, 0)</f>
        <v/>
      </c>
    </row>
    <row r="169" ht="18" customHeight="1" s="55">
      <c r="A169" s="85" t="inlineStr">
        <is>
          <t>DI836</t>
        </is>
      </c>
      <c r="B169" s="83" t="n">
        <v>20</v>
      </c>
      <c r="C169" s="85" t="inlineStr">
        <is>
          <t>03:46:57</t>
        </is>
      </c>
      <c r="D169" s="83" t="n">
        <v>2</v>
      </c>
      <c r="E169" s="83" t="n">
        <v>3</v>
      </c>
      <c r="F169" s="83" t="n">
        <v>0</v>
      </c>
      <c r="G169" s="83">
        <f>D169+E169+F169</f>
        <v/>
      </c>
      <c r="H169" s="100">
        <f>IF(G169&gt;0, D169/G169, 0)</f>
        <v/>
      </c>
      <c r="I169" s="101">
        <f>IF(G169&gt;0, (D169-E169)/G169, 0)</f>
        <v/>
      </c>
    </row>
    <row r="170" ht="18" customHeight="1" s="55">
      <c r="A170" s="88" t="inlineStr">
        <is>
          <t>DI836</t>
        </is>
      </c>
      <c r="B170" s="86" t="n">
        <v>21</v>
      </c>
      <c r="C170" s="88" t="inlineStr">
        <is>
          <t>03:47:00</t>
        </is>
      </c>
      <c r="D170" s="86" t="n">
        <v>2</v>
      </c>
      <c r="E170" s="86" t="n">
        <v>4</v>
      </c>
      <c r="F170" s="86" t="n">
        <v>1</v>
      </c>
      <c r="G170" s="86">
        <f>D170+E170+F170</f>
        <v/>
      </c>
      <c r="H170" s="102">
        <f>IF(G170&gt;0, D170/G170, 0)</f>
        <v/>
      </c>
      <c r="I170" s="103">
        <f>IF(G170&gt;0, (D170-E170)/G170, 0)</f>
        <v/>
      </c>
    </row>
    <row r="171" ht="18" customHeight="1" s="55">
      <c r="A171" s="85" t="inlineStr">
        <is>
          <t>DI836</t>
        </is>
      </c>
      <c r="B171" s="83" t="n">
        <v>22</v>
      </c>
      <c r="C171" s="85" t="inlineStr">
        <is>
          <t>03:47:31</t>
        </is>
      </c>
      <c r="D171" s="83" t="n">
        <v>10</v>
      </c>
      <c r="E171" s="83" t="n">
        <v>3</v>
      </c>
      <c r="F171" s="83" t="n">
        <v>2</v>
      </c>
      <c r="G171" s="83">
        <f>D171+E171+F171</f>
        <v/>
      </c>
      <c r="H171" s="100">
        <f>IF(G171&gt;0, D171/G171, 0)</f>
        <v/>
      </c>
      <c r="I171" s="101">
        <f>IF(G171&gt;0, (D171-E171)/G171, 0)</f>
        <v/>
      </c>
    </row>
    <row r="172" ht="18" customHeight="1" s="55">
      <c r="A172" s="88" t="inlineStr">
        <is>
          <t>DI836</t>
        </is>
      </c>
      <c r="B172" s="86" t="n">
        <v>23</v>
      </c>
      <c r="C172" s="88" t="inlineStr">
        <is>
          <t>03:47:40</t>
        </is>
      </c>
      <c r="D172" s="86" t="n">
        <v>12</v>
      </c>
      <c r="E172" s="86" t="n">
        <v>14</v>
      </c>
      <c r="F172" s="86" t="n">
        <v>3</v>
      </c>
      <c r="G172" s="86">
        <f>D172+E172+F172</f>
        <v/>
      </c>
      <c r="H172" s="102">
        <f>IF(G172&gt;0, D172/G172, 0)</f>
        <v/>
      </c>
      <c r="I172" s="103">
        <f>IF(G172&gt;0, (D172-E172)/G172, 0)</f>
        <v/>
      </c>
    </row>
    <row r="173" ht="18" customHeight="1" s="55">
      <c r="A173" s="85" t="inlineStr">
        <is>
          <t>DI836</t>
        </is>
      </c>
      <c r="B173" s="83" t="n">
        <v>24</v>
      </c>
      <c r="C173" s="85" t="inlineStr">
        <is>
          <t>03:48:14</t>
        </is>
      </c>
      <c r="D173" s="83" t="n">
        <v>15</v>
      </c>
      <c r="E173" s="83" t="n">
        <v>4</v>
      </c>
      <c r="F173" s="83" t="n">
        <v>1</v>
      </c>
      <c r="G173" s="83">
        <f>D173+E173+F173</f>
        <v/>
      </c>
      <c r="H173" s="100">
        <f>IF(G173&gt;0, D173/G173, 0)</f>
        <v/>
      </c>
      <c r="I173" s="101">
        <f>IF(G173&gt;0, (D173-E173)/G173, 0)</f>
        <v/>
      </c>
    </row>
    <row r="174" ht="18" customHeight="1" s="55">
      <c r="A174" s="88" t="inlineStr">
        <is>
          <t>DI836</t>
        </is>
      </c>
      <c r="B174" s="86" t="n">
        <v>25</v>
      </c>
      <c r="C174" s="88" t="inlineStr">
        <is>
          <t>03:48:32</t>
        </is>
      </c>
      <c r="D174" s="86" t="n">
        <v>0</v>
      </c>
      <c r="E174" s="86" t="n">
        <v>6</v>
      </c>
      <c r="F174" s="86" t="n">
        <v>2</v>
      </c>
      <c r="G174" s="86">
        <f>D174+E174+F174</f>
        <v/>
      </c>
      <c r="H174" s="102">
        <f>IF(G174&gt;0, D174/G174, 0)</f>
        <v/>
      </c>
      <c r="I174" s="103">
        <f>IF(G174&gt;0, (D174-E174)/G174, 0)</f>
        <v/>
      </c>
    </row>
    <row r="175" ht="18" customHeight="1" s="55">
      <c r="A175" s="85" t="inlineStr">
        <is>
          <t>DI836</t>
        </is>
      </c>
      <c r="B175" s="83" t="n">
        <v>26</v>
      </c>
      <c r="C175" s="85" t="inlineStr">
        <is>
          <t>03:48:58</t>
        </is>
      </c>
      <c r="D175" s="83" t="n">
        <v>7</v>
      </c>
      <c r="E175" s="83" t="n">
        <v>2</v>
      </c>
      <c r="F175" s="83" t="n">
        <v>1</v>
      </c>
      <c r="G175" s="83">
        <f>D175+E175+F175</f>
        <v/>
      </c>
      <c r="H175" s="100">
        <f>IF(G175&gt;0, D175/G175, 0)</f>
        <v/>
      </c>
      <c r="I175" s="101">
        <f>IF(G175&gt;0, (D175-E175)/G175, 0)</f>
        <v/>
      </c>
    </row>
    <row r="176" ht="18" customHeight="1" s="55">
      <c r="A176" s="88" t="inlineStr">
        <is>
          <t>DI836</t>
        </is>
      </c>
      <c r="B176" s="86" t="n">
        <v>27</v>
      </c>
      <c r="C176" s="88" t="inlineStr">
        <is>
          <t>03:50:41</t>
        </is>
      </c>
      <c r="D176" s="86" t="n">
        <v>9</v>
      </c>
      <c r="E176" s="86" t="n">
        <v>4</v>
      </c>
      <c r="F176" s="86" t="n">
        <v>1</v>
      </c>
      <c r="G176" s="86">
        <f>D176+E176+F176</f>
        <v/>
      </c>
      <c r="H176" s="102">
        <f>IF(G176&gt;0, D176/G176, 0)</f>
        <v/>
      </c>
      <c r="I176" s="103">
        <f>IF(G176&gt;0, (D176-E176)/G176, 0)</f>
        <v/>
      </c>
    </row>
    <row r="177" ht="18" customHeight="1" s="55">
      <c r="A177" s="85" t="inlineStr">
        <is>
          <t>DI836</t>
        </is>
      </c>
      <c r="B177" s="83" t="n">
        <v>28</v>
      </c>
      <c r="C177" s="85" t="inlineStr">
        <is>
          <t>03:51:24</t>
        </is>
      </c>
      <c r="D177" s="83" t="n">
        <v>7</v>
      </c>
      <c r="E177" s="83" t="n">
        <v>6</v>
      </c>
      <c r="F177" s="83" t="n">
        <v>2</v>
      </c>
      <c r="G177" s="83">
        <f>D177+E177+F177</f>
        <v/>
      </c>
      <c r="H177" s="100">
        <f>IF(G177&gt;0, D177/G177, 0)</f>
        <v/>
      </c>
      <c r="I177" s="101">
        <f>IF(G177&gt;0, (D177-E177)/G177, 0)</f>
        <v/>
      </c>
    </row>
    <row r="178" ht="18" customHeight="1" s="55">
      <c r="A178" s="88" t="inlineStr">
        <is>
          <t>DI836</t>
        </is>
      </c>
      <c r="B178" s="86" t="n">
        <v>29</v>
      </c>
      <c r="C178" s="88" t="inlineStr">
        <is>
          <t>03:52:08</t>
        </is>
      </c>
      <c r="D178" s="86" t="n">
        <v>1</v>
      </c>
      <c r="E178" s="86" t="n">
        <v>5</v>
      </c>
      <c r="F178" s="86" t="n">
        <v>0</v>
      </c>
      <c r="G178" s="86">
        <f>D178+E178+F178</f>
        <v/>
      </c>
      <c r="H178" s="102">
        <f>IF(G178&gt;0, D178/G178, 0)</f>
        <v/>
      </c>
      <c r="I178" s="103">
        <f>IF(G178&gt;0, (D178-E178)/G178, 0)</f>
        <v/>
      </c>
    </row>
    <row r="179" ht="18" customHeight="1" s="55">
      <c r="A179" s="85" t="inlineStr">
        <is>
          <t>DI837</t>
        </is>
      </c>
      <c r="B179" s="83" t="n">
        <v>1</v>
      </c>
      <c r="C179" s="85" t="inlineStr">
        <is>
          <t>04:59:05</t>
        </is>
      </c>
      <c r="D179" s="83" t="n">
        <v>3</v>
      </c>
      <c r="E179" s="83" t="n">
        <v>4</v>
      </c>
      <c r="F179" s="83" t="n">
        <v>0</v>
      </c>
      <c r="G179" s="83">
        <f>D179+E179+F179</f>
        <v/>
      </c>
      <c r="H179" s="100">
        <f>IF(G179&gt;0, D179/G179, 0)</f>
        <v/>
      </c>
      <c r="I179" s="101">
        <f>IF(G179&gt;0, (D179-E179)/G179, 0)</f>
        <v/>
      </c>
    </row>
    <row r="180" ht="18" customHeight="1" s="55">
      <c r="A180" s="88" t="inlineStr">
        <is>
          <t>DI837</t>
        </is>
      </c>
      <c r="B180" s="86" t="n">
        <v>2</v>
      </c>
      <c r="C180" s="88" t="inlineStr">
        <is>
          <t>04:59:23</t>
        </is>
      </c>
      <c r="D180" s="86" t="n">
        <v>1</v>
      </c>
      <c r="E180" s="86" t="n">
        <v>2</v>
      </c>
      <c r="F180" s="86" t="n">
        <v>0</v>
      </c>
      <c r="G180" s="86">
        <f>D180+E180+F180</f>
        <v/>
      </c>
      <c r="H180" s="102">
        <f>IF(G180&gt;0, D180/G180, 0)</f>
        <v/>
      </c>
      <c r="I180" s="103">
        <f>IF(G180&gt;0, (D180-E180)/G180, 0)</f>
        <v/>
      </c>
    </row>
    <row r="181" ht="18" customHeight="1" s="55">
      <c r="A181" s="85" t="inlineStr">
        <is>
          <t>DI837</t>
        </is>
      </c>
      <c r="B181" s="83" t="n">
        <v>3</v>
      </c>
      <c r="C181" s="85" t="inlineStr">
        <is>
          <t>05:00:14</t>
        </is>
      </c>
      <c r="D181" s="83" t="n">
        <v>3</v>
      </c>
      <c r="E181" s="83" t="n">
        <v>2</v>
      </c>
      <c r="F181" s="83" t="n">
        <v>0</v>
      </c>
      <c r="G181" s="83">
        <f>D181+E181+F181</f>
        <v/>
      </c>
      <c r="H181" s="100">
        <f>IF(G181&gt;0, D181/G181, 0)</f>
        <v/>
      </c>
      <c r="I181" s="101">
        <f>IF(G181&gt;0, (D181-E181)/G181, 0)</f>
        <v/>
      </c>
    </row>
    <row r="182" ht="18" customHeight="1" s="55">
      <c r="A182" s="88" t="inlineStr">
        <is>
          <t>DI837</t>
        </is>
      </c>
      <c r="B182" s="86" t="n">
        <v>4</v>
      </c>
      <c r="C182" s="88" t="inlineStr">
        <is>
          <t>05:00:40</t>
        </is>
      </c>
      <c r="D182" s="86" t="n">
        <v>2</v>
      </c>
      <c r="E182" s="86" t="n">
        <v>3</v>
      </c>
      <c r="F182" s="86" t="n">
        <v>0</v>
      </c>
      <c r="G182" s="86">
        <f>D182+E182+F182</f>
        <v/>
      </c>
      <c r="H182" s="102">
        <f>IF(G182&gt;0, D182/G182, 0)</f>
        <v/>
      </c>
      <c r="I182" s="103">
        <f>IF(G182&gt;0, (D182-E182)/G182, 0)</f>
        <v/>
      </c>
    </row>
    <row r="183" ht="18" customHeight="1" s="55">
      <c r="A183" s="85" t="inlineStr">
        <is>
          <t>DI837</t>
        </is>
      </c>
      <c r="B183" s="83" t="n">
        <v>5</v>
      </c>
      <c r="C183" s="85" t="inlineStr">
        <is>
          <t>05:00:49</t>
        </is>
      </c>
      <c r="D183" s="83" t="n">
        <v>3</v>
      </c>
      <c r="E183" s="83" t="n">
        <v>3</v>
      </c>
      <c r="F183" s="83" t="n">
        <v>0</v>
      </c>
      <c r="G183" s="83">
        <f>D183+E183+F183</f>
        <v/>
      </c>
      <c r="H183" s="100">
        <f>IF(G183&gt;0, D183/G183, 0)</f>
        <v/>
      </c>
      <c r="I183" s="101">
        <f>IF(G183&gt;0, (D183-E183)/G183, 0)</f>
        <v/>
      </c>
    </row>
    <row r="184" ht="18" customHeight="1" s="55">
      <c r="A184" s="88" t="inlineStr">
        <is>
          <t>DI837</t>
        </is>
      </c>
      <c r="B184" s="86" t="n">
        <v>6</v>
      </c>
      <c r="C184" s="88" t="inlineStr">
        <is>
          <t>05:01:06</t>
        </is>
      </c>
      <c r="D184" s="86" t="n">
        <v>1</v>
      </c>
      <c r="E184" s="86" t="n">
        <v>1</v>
      </c>
      <c r="F184" s="86" t="n">
        <v>0</v>
      </c>
      <c r="G184" s="86">
        <f>D184+E184+F184</f>
        <v/>
      </c>
      <c r="H184" s="102">
        <f>IF(G184&gt;0, D184/G184, 0)</f>
        <v/>
      </c>
      <c r="I184" s="103">
        <f>IF(G184&gt;0, (D184-E184)/G184, 0)</f>
        <v/>
      </c>
    </row>
    <row r="185" ht="18" customHeight="1" s="55">
      <c r="A185" s="85" t="inlineStr">
        <is>
          <t>DI837</t>
        </is>
      </c>
      <c r="B185" s="83" t="n">
        <v>7</v>
      </c>
      <c r="C185" s="85" t="inlineStr">
        <is>
          <t>05:01:15</t>
        </is>
      </c>
      <c r="D185" s="83" t="n">
        <v>4</v>
      </c>
      <c r="E185" s="83" t="n">
        <v>2</v>
      </c>
      <c r="F185" s="83" t="n">
        <v>0</v>
      </c>
      <c r="G185" s="83">
        <f>D185+E185+F185</f>
        <v/>
      </c>
      <c r="H185" s="100">
        <f>IF(G185&gt;0, D185/G185, 0)</f>
        <v/>
      </c>
      <c r="I185" s="101">
        <f>IF(G185&gt;0, (D185-E185)/G185, 0)</f>
        <v/>
      </c>
    </row>
    <row r="186" ht="18" customHeight="1" s="55">
      <c r="A186" s="88" t="inlineStr">
        <is>
          <t>DI837</t>
        </is>
      </c>
      <c r="B186" s="86" t="n">
        <v>8</v>
      </c>
      <c r="C186" s="88" t="inlineStr">
        <is>
          <t>05:01:32</t>
        </is>
      </c>
      <c r="D186" s="86" t="n">
        <v>0</v>
      </c>
      <c r="E186" s="86" t="n">
        <v>0</v>
      </c>
      <c r="F186" s="86" t="n">
        <v>1</v>
      </c>
      <c r="G186" s="86">
        <f>D186+E186+F186</f>
        <v/>
      </c>
      <c r="H186" s="102">
        <f>IF(G186&gt;0, D186/G186, 0)</f>
        <v/>
      </c>
      <c r="I186" s="103">
        <f>IF(G186&gt;0, (D186-E186)/G186, 0)</f>
        <v/>
      </c>
    </row>
    <row r="187" ht="18" customHeight="1" s="55">
      <c r="A187" s="85" t="inlineStr">
        <is>
          <t>DI837</t>
        </is>
      </c>
      <c r="B187" s="83" t="n">
        <v>9</v>
      </c>
      <c r="C187" s="85" t="inlineStr">
        <is>
          <t>05:02:15</t>
        </is>
      </c>
      <c r="D187" s="83" t="n">
        <v>7</v>
      </c>
      <c r="E187" s="83" t="n">
        <v>2</v>
      </c>
      <c r="F187" s="83" t="n">
        <v>2</v>
      </c>
      <c r="G187" s="83">
        <f>D187+E187+F187</f>
        <v/>
      </c>
      <c r="H187" s="100">
        <f>IF(G187&gt;0, D187/G187, 0)</f>
        <v/>
      </c>
      <c r="I187" s="101">
        <f>IF(G187&gt;0, (D187-E187)/G187, 0)</f>
        <v/>
      </c>
    </row>
    <row r="188" ht="18" customHeight="1" s="55">
      <c r="A188" s="88" t="inlineStr">
        <is>
          <t>DI837</t>
        </is>
      </c>
      <c r="B188" s="86" t="n">
        <v>10</v>
      </c>
      <c r="C188" s="88" t="inlineStr">
        <is>
          <t>05:02:41</t>
        </is>
      </c>
      <c r="D188" s="86" t="n">
        <v>3</v>
      </c>
      <c r="E188" s="86" t="n">
        <v>5</v>
      </c>
      <c r="F188" s="86" t="n">
        <v>0</v>
      </c>
      <c r="G188" s="86">
        <f>D188+E188+F188</f>
        <v/>
      </c>
      <c r="H188" s="102">
        <f>IF(G188&gt;0, D188/G188, 0)</f>
        <v/>
      </c>
      <c r="I188" s="103">
        <f>IF(G188&gt;0, (D188-E188)/G188, 0)</f>
        <v/>
      </c>
    </row>
    <row r="189" ht="18" customHeight="1" s="55">
      <c r="A189" s="85" t="inlineStr">
        <is>
          <t>DI837</t>
        </is>
      </c>
      <c r="B189" s="83" t="n">
        <v>11</v>
      </c>
      <c r="C189" s="85" t="inlineStr">
        <is>
          <t>05:02:50</t>
        </is>
      </c>
      <c r="D189" s="83" t="n">
        <v>4</v>
      </c>
      <c r="E189" s="83" t="n">
        <v>3</v>
      </c>
      <c r="F189" s="83" t="n">
        <v>2</v>
      </c>
      <c r="G189" s="83">
        <f>D189+E189+F189</f>
        <v/>
      </c>
      <c r="H189" s="100">
        <f>IF(G189&gt;0, D189/G189, 0)</f>
        <v/>
      </c>
      <c r="I189" s="101">
        <f>IF(G189&gt;0, (D189-E189)/G189, 0)</f>
        <v/>
      </c>
    </row>
    <row r="190" ht="18" customHeight="1" s="55">
      <c r="A190" s="88" t="inlineStr">
        <is>
          <t>DI837</t>
        </is>
      </c>
      <c r="B190" s="86" t="n">
        <v>12</v>
      </c>
      <c r="C190" s="88" t="inlineStr">
        <is>
          <t>05:02:59</t>
        </is>
      </c>
      <c r="D190" s="86" t="n">
        <v>5</v>
      </c>
      <c r="E190" s="86" t="n">
        <v>4</v>
      </c>
      <c r="F190" s="86" t="n">
        <v>0</v>
      </c>
      <c r="G190" s="86">
        <f>D190+E190+F190</f>
        <v/>
      </c>
      <c r="H190" s="102">
        <f>IF(G190&gt;0, D190/G190, 0)</f>
        <v/>
      </c>
      <c r="I190" s="103">
        <f>IF(G190&gt;0, (D190-E190)/G190, 0)</f>
        <v/>
      </c>
    </row>
    <row r="191" ht="18" customHeight="1" s="55">
      <c r="A191" s="85" t="inlineStr">
        <is>
          <t>DI837</t>
        </is>
      </c>
      <c r="B191" s="83" t="n">
        <v>13</v>
      </c>
      <c r="C191" s="85" t="inlineStr">
        <is>
          <t>05:03:24</t>
        </is>
      </c>
      <c r="D191" s="83" t="n">
        <v>5</v>
      </c>
      <c r="E191" s="83" t="n">
        <v>1</v>
      </c>
      <c r="F191" s="83" t="n">
        <v>0</v>
      </c>
      <c r="G191" s="83">
        <f>D191+E191+F191</f>
        <v/>
      </c>
      <c r="H191" s="100">
        <f>IF(G191&gt;0, D191/G191, 0)</f>
        <v/>
      </c>
      <c r="I191" s="101">
        <f>IF(G191&gt;0, (D191-E191)/G191, 0)</f>
        <v/>
      </c>
    </row>
    <row r="192" ht="18" customHeight="1" s="55">
      <c r="A192" s="88" t="inlineStr">
        <is>
          <t>DI837</t>
        </is>
      </c>
      <c r="B192" s="86" t="n">
        <v>14</v>
      </c>
      <c r="C192" s="88" t="inlineStr">
        <is>
          <t>05:03:50</t>
        </is>
      </c>
      <c r="D192" s="86" t="n">
        <v>6</v>
      </c>
      <c r="E192" s="86" t="n">
        <v>0</v>
      </c>
      <c r="F192" s="86" t="n">
        <v>0</v>
      </c>
      <c r="G192" s="86">
        <f>D192+E192+F192</f>
        <v/>
      </c>
      <c r="H192" s="102">
        <f>IF(G192&gt;0, D192/G192, 0)</f>
        <v/>
      </c>
      <c r="I192" s="103">
        <f>IF(G192&gt;0, (D192-E192)/G192, 0)</f>
        <v/>
      </c>
    </row>
    <row r="193" ht="18" customHeight="1" s="55">
      <c r="A193" s="85" t="inlineStr">
        <is>
          <t>DI837</t>
        </is>
      </c>
      <c r="B193" s="83" t="n">
        <v>15</v>
      </c>
      <c r="C193" s="85" t="inlineStr">
        <is>
          <t>05:04:08</t>
        </is>
      </c>
      <c r="D193" s="83" t="n">
        <v>4</v>
      </c>
      <c r="E193" s="83" t="n">
        <v>2</v>
      </c>
      <c r="F193" s="83" t="n">
        <v>0</v>
      </c>
      <c r="G193" s="83">
        <f>D193+E193+F193</f>
        <v/>
      </c>
      <c r="H193" s="100">
        <f>IF(G193&gt;0, D193/G193, 0)</f>
        <v/>
      </c>
      <c r="I193" s="101">
        <f>IF(G193&gt;0, (D193-E193)/G193, 0)</f>
        <v/>
      </c>
    </row>
    <row r="194" ht="18" customHeight="1" s="55">
      <c r="A194" s="88" t="inlineStr">
        <is>
          <t>DI837</t>
        </is>
      </c>
      <c r="B194" s="86" t="n">
        <v>16</v>
      </c>
      <c r="C194" s="88" t="inlineStr">
        <is>
          <t>05:04:34</t>
        </is>
      </c>
      <c r="D194" s="86" t="n">
        <v>11</v>
      </c>
      <c r="E194" s="86" t="n">
        <v>2</v>
      </c>
      <c r="F194" s="86" t="n">
        <v>1</v>
      </c>
      <c r="G194" s="86">
        <f>D194+E194+F194</f>
        <v/>
      </c>
      <c r="H194" s="102">
        <f>IF(G194&gt;0, D194/G194, 0)</f>
        <v/>
      </c>
      <c r="I194" s="103">
        <f>IF(G194&gt;0, (D194-E194)/G194, 0)</f>
        <v/>
      </c>
    </row>
    <row r="195" ht="18" customHeight="1" s="55">
      <c r="A195" s="85" t="inlineStr">
        <is>
          <t>DI837</t>
        </is>
      </c>
      <c r="B195" s="83" t="n">
        <v>17</v>
      </c>
      <c r="C195" s="85" t="inlineStr">
        <is>
          <t>05:05:00</t>
        </is>
      </c>
      <c r="D195" s="83" t="n">
        <v>1</v>
      </c>
      <c r="E195" s="83" t="n">
        <v>3</v>
      </c>
      <c r="F195" s="83" t="n">
        <v>1</v>
      </c>
      <c r="G195" s="83">
        <f>D195+E195+F195</f>
        <v/>
      </c>
      <c r="H195" s="100">
        <f>IF(G195&gt;0, D195/G195, 0)</f>
        <v/>
      </c>
      <c r="I195" s="101">
        <f>IF(G195&gt;0, (D195-E195)/G195, 0)</f>
        <v/>
      </c>
    </row>
    <row r="196" ht="18" customHeight="1" s="55">
      <c r="A196" s="88" t="inlineStr">
        <is>
          <t>DI837</t>
        </is>
      </c>
      <c r="B196" s="86" t="n">
        <v>18</v>
      </c>
      <c r="C196" s="88" t="inlineStr">
        <is>
          <t>05:05:25</t>
        </is>
      </c>
      <c r="D196" s="86" t="n">
        <v>11</v>
      </c>
      <c r="E196" s="86" t="n">
        <v>3</v>
      </c>
      <c r="F196" s="86" t="n">
        <v>1</v>
      </c>
      <c r="G196" s="86">
        <f>D196+E196+F196</f>
        <v/>
      </c>
      <c r="H196" s="102">
        <f>IF(G196&gt;0, D196/G196, 0)</f>
        <v/>
      </c>
      <c r="I196" s="103">
        <f>IF(G196&gt;0, (D196-E196)/G196, 0)</f>
        <v/>
      </c>
    </row>
    <row r="197" ht="18" customHeight="1" s="55">
      <c r="A197" s="85" t="inlineStr">
        <is>
          <t>DI837</t>
        </is>
      </c>
      <c r="B197" s="83" t="n">
        <v>19</v>
      </c>
      <c r="C197" s="85" t="inlineStr">
        <is>
          <t>05:06:00</t>
        </is>
      </c>
      <c r="D197" s="83" t="n">
        <v>5</v>
      </c>
      <c r="E197" s="83" t="n">
        <v>3</v>
      </c>
      <c r="F197" s="83" t="n">
        <v>1</v>
      </c>
      <c r="G197" s="83">
        <f>D197+E197+F197</f>
        <v/>
      </c>
      <c r="H197" s="100">
        <f>IF(G197&gt;0, D197/G197, 0)</f>
        <v/>
      </c>
      <c r="I197" s="101">
        <f>IF(G197&gt;0, (D197-E197)/G197, 0)</f>
        <v/>
      </c>
    </row>
    <row r="198" ht="18" customHeight="1" s="55">
      <c r="A198" s="88" t="inlineStr">
        <is>
          <t>DI837</t>
        </is>
      </c>
      <c r="B198" s="86" t="n">
        <v>20</v>
      </c>
      <c r="C198" s="88" t="inlineStr">
        <is>
          <t>05:06:52</t>
        </is>
      </c>
      <c r="D198" s="86" t="n">
        <v>10</v>
      </c>
      <c r="E198" s="86" t="n">
        <v>2</v>
      </c>
      <c r="F198" s="86" t="n">
        <v>1</v>
      </c>
      <c r="G198" s="86">
        <f>D198+E198+F198</f>
        <v/>
      </c>
      <c r="H198" s="102">
        <f>IF(G198&gt;0, D198/G198, 0)</f>
        <v/>
      </c>
      <c r="I198" s="103">
        <f>IF(G198&gt;0, (D198-E198)/G198, 0)</f>
        <v/>
      </c>
    </row>
    <row r="199" ht="18" customHeight="1" s="55">
      <c r="A199" s="85" t="inlineStr">
        <is>
          <t>DI837</t>
        </is>
      </c>
      <c r="B199" s="83" t="n">
        <v>21</v>
      </c>
      <c r="C199" s="85" t="inlineStr">
        <is>
          <t>05:07:00</t>
        </is>
      </c>
      <c r="D199" s="83" t="n">
        <v>3</v>
      </c>
      <c r="E199" s="83" t="n">
        <v>2</v>
      </c>
      <c r="F199" s="83" t="n">
        <v>0</v>
      </c>
      <c r="G199" s="83">
        <f>D199+E199+F199</f>
        <v/>
      </c>
      <c r="H199" s="100">
        <f>IF(G199&gt;0, D199/G199, 0)</f>
        <v/>
      </c>
      <c r="I199" s="101">
        <f>IF(G199&gt;0, (D199-E199)/G199, 0)</f>
        <v/>
      </c>
    </row>
    <row r="200" ht="18" customHeight="1" s="55">
      <c r="A200" s="88" t="inlineStr">
        <is>
          <t>DI837</t>
        </is>
      </c>
      <c r="B200" s="86" t="n">
        <v>22</v>
      </c>
      <c r="C200" s="88" t="inlineStr">
        <is>
          <t>05:07:09</t>
        </is>
      </c>
      <c r="D200" s="86" t="n">
        <v>4</v>
      </c>
      <c r="E200" s="86" t="n">
        <v>9</v>
      </c>
      <c r="F200" s="86" t="n">
        <v>2</v>
      </c>
      <c r="G200" s="86">
        <f>D200+E200+F200</f>
        <v/>
      </c>
      <c r="H200" s="102">
        <f>IF(G200&gt;0, D200/G200, 0)</f>
        <v/>
      </c>
      <c r="I200" s="103">
        <f>IF(G200&gt;0, (D200-E200)/G200, 0)</f>
        <v/>
      </c>
    </row>
    <row r="201" ht="18" customHeight="1" s="55">
      <c r="A201" s="85" t="inlineStr">
        <is>
          <t>DI837</t>
        </is>
      </c>
      <c r="B201" s="83" t="n">
        <v>23</v>
      </c>
      <c r="C201" s="85" t="inlineStr">
        <is>
          <t>05:07:26</t>
        </is>
      </c>
      <c r="D201" s="83" t="n">
        <v>12</v>
      </c>
      <c r="E201" s="83" t="n">
        <v>4</v>
      </c>
      <c r="F201" s="83" t="n">
        <v>2</v>
      </c>
      <c r="G201" s="83">
        <f>D201+E201+F201</f>
        <v/>
      </c>
      <c r="H201" s="100">
        <f>IF(G201&gt;0, D201/G201, 0)</f>
        <v/>
      </c>
      <c r="I201" s="101">
        <f>IF(G201&gt;0, (D201-E201)/G201, 0)</f>
        <v/>
      </c>
    </row>
    <row r="202" ht="18" customHeight="1" s="55">
      <c r="A202" s="88" t="inlineStr">
        <is>
          <t>DI837</t>
        </is>
      </c>
      <c r="B202" s="86" t="n">
        <v>24</v>
      </c>
      <c r="C202" s="88" t="inlineStr">
        <is>
          <t>05:07:35</t>
        </is>
      </c>
      <c r="D202" s="86" t="n">
        <v>9</v>
      </c>
      <c r="E202" s="86" t="n">
        <v>3</v>
      </c>
      <c r="F202" s="86" t="n">
        <v>0</v>
      </c>
      <c r="G202" s="86">
        <f>D202+E202+F202</f>
        <v/>
      </c>
      <c r="H202" s="102">
        <f>IF(G202&gt;0, D202/G202, 0)</f>
        <v/>
      </c>
      <c r="I202" s="103">
        <f>IF(G202&gt;0, (D202-E202)/G202, 0)</f>
        <v/>
      </c>
    </row>
    <row r="203" ht="18" customHeight="1" s="55">
      <c r="A203" s="85" t="inlineStr">
        <is>
          <t>DI837</t>
        </is>
      </c>
      <c r="B203" s="83" t="n">
        <v>25</v>
      </c>
      <c r="C203" s="85" t="inlineStr">
        <is>
          <t>05:08:01</t>
        </is>
      </c>
      <c r="D203" s="83" t="n">
        <v>7</v>
      </c>
      <c r="E203" s="83" t="n">
        <v>9</v>
      </c>
      <c r="F203" s="83" t="n">
        <v>3</v>
      </c>
      <c r="G203" s="83">
        <f>D203+E203+F203</f>
        <v/>
      </c>
      <c r="H203" s="100">
        <f>IF(G203&gt;0, D203/G203, 0)</f>
        <v/>
      </c>
      <c r="I203" s="101">
        <f>IF(G203&gt;0, (D203-E203)/G203, 0)</f>
        <v/>
      </c>
    </row>
    <row r="204" ht="18" customHeight="1" s="55">
      <c r="A204" s="88" t="inlineStr">
        <is>
          <t>DI837</t>
        </is>
      </c>
      <c r="B204" s="86" t="n">
        <v>26</v>
      </c>
      <c r="C204" s="88" t="inlineStr">
        <is>
          <t>05:08:18</t>
        </is>
      </c>
      <c r="D204" s="86" t="n">
        <v>4</v>
      </c>
      <c r="E204" s="86" t="n">
        <v>8</v>
      </c>
      <c r="F204" s="86" t="n">
        <v>0</v>
      </c>
      <c r="G204" s="86">
        <f>D204+E204+F204</f>
        <v/>
      </c>
      <c r="H204" s="102">
        <f>IF(G204&gt;0, D204/G204, 0)</f>
        <v/>
      </c>
      <c r="I204" s="103">
        <f>IF(G204&gt;0, (D204-E204)/G204, 0)</f>
        <v/>
      </c>
    </row>
    <row r="205" ht="18" customHeight="1" s="55">
      <c r="A205" s="85" t="inlineStr">
        <is>
          <t>DI837</t>
        </is>
      </c>
      <c r="B205" s="83" t="n">
        <v>27</v>
      </c>
      <c r="C205" s="85" t="inlineStr">
        <is>
          <t>05:08:27</t>
        </is>
      </c>
      <c r="D205" s="83" t="n">
        <v>5</v>
      </c>
      <c r="E205" s="83" t="n">
        <v>5</v>
      </c>
      <c r="F205" s="83" t="n">
        <v>2</v>
      </c>
      <c r="G205" s="83">
        <f>D205+E205+F205</f>
        <v/>
      </c>
      <c r="H205" s="100">
        <f>IF(G205&gt;0, D205/G205, 0)</f>
        <v/>
      </c>
      <c r="I205" s="101">
        <f>IF(G205&gt;0, (D205-E205)/G205, 0)</f>
        <v/>
      </c>
    </row>
    <row r="206" ht="18" customHeight="1" s="55">
      <c r="A206" s="88" t="inlineStr">
        <is>
          <t>DI837</t>
        </is>
      </c>
      <c r="B206" s="86" t="n">
        <v>28</v>
      </c>
      <c r="C206" s="88" t="inlineStr">
        <is>
          <t>05:08:30</t>
        </is>
      </c>
      <c r="D206" s="86" t="n">
        <v>4</v>
      </c>
      <c r="E206" s="86" t="n">
        <v>7</v>
      </c>
      <c r="F206" s="86" t="n">
        <v>2</v>
      </c>
      <c r="G206" s="86">
        <f>D206+E206+F206</f>
        <v/>
      </c>
      <c r="H206" s="102">
        <f>IF(G206&gt;0, D206/G206, 0)</f>
        <v/>
      </c>
      <c r="I206" s="103">
        <f>IF(G206&gt;0, (D206-E206)/G206, 0)</f>
        <v/>
      </c>
    </row>
    <row r="207" ht="18" customHeight="1" s="55">
      <c r="A207" s="85" t="inlineStr">
        <is>
          <t>DI837</t>
        </is>
      </c>
      <c r="B207" s="83" t="n">
        <v>29</v>
      </c>
      <c r="C207" s="85" t="inlineStr">
        <is>
          <t>05:08:36</t>
        </is>
      </c>
      <c r="D207" s="83" t="n">
        <v>7</v>
      </c>
      <c r="E207" s="83" t="n">
        <v>2</v>
      </c>
      <c r="F207" s="83" t="n">
        <v>1</v>
      </c>
      <c r="G207" s="83">
        <f>D207+E207+F207</f>
        <v/>
      </c>
      <c r="H207" s="100">
        <f>IF(G207&gt;0, D207/G207, 0)</f>
        <v/>
      </c>
      <c r="I207" s="101">
        <f>IF(G207&gt;0, (D207-E207)/G207, 0)</f>
        <v/>
      </c>
    </row>
    <row r="208" ht="18" customHeight="1" s="55">
      <c r="A208" s="88" t="inlineStr">
        <is>
          <t>DI838</t>
        </is>
      </c>
      <c r="B208" s="86" t="n">
        <v>1</v>
      </c>
      <c r="C208" s="88" t="inlineStr">
        <is>
          <t>10:30:09</t>
        </is>
      </c>
      <c r="D208" s="86" t="n">
        <v>1</v>
      </c>
      <c r="E208" s="86" t="n">
        <v>2</v>
      </c>
      <c r="F208" s="86" t="n">
        <v>0</v>
      </c>
      <c r="G208" s="86">
        <f>D208+E208+F208</f>
        <v/>
      </c>
      <c r="H208" s="102">
        <f>IF(G208&gt;0, D208/G208, 0)</f>
        <v/>
      </c>
      <c r="I208" s="103">
        <f>IF(G208&gt;0, (D208-E208)/G208, 0)</f>
        <v/>
      </c>
    </row>
    <row r="209" ht="18" customHeight="1" s="55">
      <c r="A209" s="85" t="inlineStr">
        <is>
          <t>DI838</t>
        </is>
      </c>
      <c r="B209" s="83" t="n">
        <v>2</v>
      </c>
      <c r="C209" s="85" t="inlineStr">
        <is>
          <t>10:30:17</t>
        </is>
      </c>
      <c r="D209" s="83" t="n">
        <v>2</v>
      </c>
      <c r="E209" s="83" t="n">
        <v>2</v>
      </c>
      <c r="F209" s="83" t="n">
        <v>0</v>
      </c>
      <c r="G209" s="83">
        <f>D209+E209+F209</f>
        <v/>
      </c>
      <c r="H209" s="100">
        <f>IF(G209&gt;0, D209/G209, 0)</f>
        <v/>
      </c>
      <c r="I209" s="101">
        <f>IF(G209&gt;0, (D209-E209)/G209, 0)</f>
        <v/>
      </c>
    </row>
    <row r="210" ht="18" customHeight="1" s="55">
      <c r="A210" s="88" t="inlineStr">
        <is>
          <t>DI838</t>
        </is>
      </c>
      <c r="B210" s="86" t="n">
        <v>3</v>
      </c>
      <c r="C210" s="88" t="inlineStr">
        <is>
          <t>10:31:26</t>
        </is>
      </c>
      <c r="D210" s="86" t="n">
        <v>3</v>
      </c>
      <c r="E210" s="86" t="n">
        <v>2</v>
      </c>
      <c r="F210" s="86" t="n">
        <v>0</v>
      </c>
      <c r="G210" s="86">
        <f>D210+E210+F210</f>
        <v/>
      </c>
      <c r="H210" s="102">
        <f>IF(G210&gt;0, D210/G210, 0)</f>
        <v/>
      </c>
      <c r="I210" s="103">
        <f>IF(G210&gt;0, (D210-E210)/G210, 0)</f>
        <v/>
      </c>
    </row>
    <row r="211" ht="18" customHeight="1" s="55">
      <c r="A211" s="85" t="inlineStr">
        <is>
          <t>DI838</t>
        </is>
      </c>
      <c r="B211" s="83" t="n">
        <v>4</v>
      </c>
      <c r="C211" s="85" t="inlineStr">
        <is>
          <t>10:33:36</t>
        </is>
      </c>
      <c r="D211" s="83" t="n">
        <v>1</v>
      </c>
      <c r="E211" s="83" t="n">
        <v>3</v>
      </c>
      <c r="F211" s="83" t="n">
        <v>1</v>
      </c>
      <c r="G211" s="83">
        <f>D211+E211+F211</f>
        <v/>
      </c>
      <c r="H211" s="100">
        <f>IF(G211&gt;0, D211/G211, 0)</f>
        <v/>
      </c>
      <c r="I211" s="101">
        <f>IF(G211&gt;0, (D211-E211)/G211, 0)</f>
        <v/>
      </c>
    </row>
    <row r="212" ht="18" customHeight="1" s="55">
      <c r="A212" s="88" t="inlineStr">
        <is>
          <t>DI838</t>
        </is>
      </c>
      <c r="B212" s="86" t="n">
        <v>5</v>
      </c>
      <c r="C212" s="88" t="inlineStr">
        <is>
          <t>10:33:45</t>
        </is>
      </c>
      <c r="D212" s="86" t="n">
        <v>1</v>
      </c>
      <c r="E212" s="86" t="n">
        <v>1</v>
      </c>
      <c r="F212" s="86" t="n">
        <v>1</v>
      </c>
      <c r="G212" s="86">
        <f>D212+E212+F212</f>
        <v/>
      </c>
      <c r="H212" s="102">
        <f>IF(G212&gt;0, D212/G212, 0)</f>
        <v/>
      </c>
      <c r="I212" s="103">
        <f>IF(G212&gt;0, (D212-E212)/G212, 0)</f>
        <v/>
      </c>
    </row>
    <row r="213" ht="18" customHeight="1" s="55">
      <c r="A213" s="85" t="inlineStr">
        <is>
          <t>DI838</t>
        </is>
      </c>
      <c r="B213" s="83" t="n">
        <v>6</v>
      </c>
      <c r="C213" s="85" t="inlineStr">
        <is>
          <t>10:34:02</t>
        </is>
      </c>
      <c r="D213" s="83" t="n">
        <v>3</v>
      </c>
      <c r="E213" s="83" t="n">
        <v>2</v>
      </c>
      <c r="F213" s="83" t="n">
        <v>2</v>
      </c>
      <c r="G213" s="83">
        <f>D213+E213+F213</f>
        <v/>
      </c>
      <c r="H213" s="100">
        <f>IF(G213&gt;0, D213/G213, 0)</f>
        <v/>
      </c>
      <c r="I213" s="101">
        <f>IF(G213&gt;0, (D213-E213)/G213, 0)</f>
        <v/>
      </c>
    </row>
    <row r="214" ht="18" customHeight="1" s="55">
      <c r="A214" s="88" t="inlineStr">
        <is>
          <t>DI838</t>
        </is>
      </c>
      <c r="B214" s="86" t="n">
        <v>7</v>
      </c>
      <c r="C214" s="88" t="inlineStr">
        <is>
          <t>10:34:11</t>
        </is>
      </c>
      <c r="D214" s="86" t="n">
        <v>4</v>
      </c>
      <c r="E214" s="86" t="n">
        <v>0</v>
      </c>
      <c r="F214" s="86" t="n">
        <v>0</v>
      </c>
      <c r="G214" s="86">
        <f>D214+E214+F214</f>
        <v/>
      </c>
      <c r="H214" s="102">
        <f>IF(G214&gt;0, D214/G214, 0)</f>
        <v/>
      </c>
      <c r="I214" s="103">
        <f>IF(G214&gt;0, (D214-E214)/G214, 0)</f>
        <v/>
      </c>
    </row>
    <row r="215" ht="18" customHeight="1" s="55">
      <c r="A215" s="85" t="inlineStr">
        <is>
          <t>DI838</t>
        </is>
      </c>
      <c r="B215" s="83" t="n">
        <v>8</v>
      </c>
      <c r="C215" s="85" t="inlineStr">
        <is>
          <t>10:34:16</t>
        </is>
      </c>
      <c r="D215" s="83" t="n">
        <v>2</v>
      </c>
      <c r="E215" s="83" t="n">
        <v>0</v>
      </c>
      <c r="F215" s="83" t="n">
        <v>2</v>
      </c>
      <c r="G215" s="83">
        <f>D215+E215+F215</f>
        <v/>
      </c>
      <c r="H215" s="100">
        <f>IF(G215&gt;0, D215/G215, 0)</f>
        <v/>
      </c>
      <c r="I215" s="101">
        <f>IF(G215&gt;0, (D215-E215)/G215, 0)</f>
        <v/>
      </c>
    </row>
    <row r="216" ht="18" customHeight="1" s="55">
      <c r="A216" s="88" t="inlineStr">
        <is>
          <t>DI838</t>
        </is>
      </c>
      <c r="B216" s="86" t="n">
        <v>9</v>
      </c>
      <c r="C216" s="88" t="inlineStr">
        <is>
          <t>10:34:19</t>
        </is>
      </c>
      <c r="D216" s="86" t="n">
        <v>1</v>
      </c>
      <c r="E216" s="86" t="n">
        <v>1</v>
      </c>
      <c r="F216" s="86" t="n">
        <v>1</v>
      </c>
      <c r="G216" s="86">
        <f>D216+E216+F216</f>
        <v/>
      </c>
      <c r="H216" s="102">
        <f>IF(G216&gt;0, D216/G216, 0)</f>
        <v/>
      </c>
      <c r="I216" s="103">
        <f>IF(G216&gt;0, (D216-E216)/G216, 0)</f>
        <v/>
      </c>
    </row>
    <row r="217" ht="18" customHeight="1" s="55">
      <c r="A217" s="85" t="inlineStr">
        <is>
          <t>DI838</t>
        </is>
      </c>
      <c r="B217" s="83" t="n">
        <v>10</v>
      </c>
      <c r="C217" s="85" t="inlineStr">
        <is>
          <t>10:35:28</t>
        </is>
      </c>
      <c r="D217" s="83" t="n">
        <v>5</v>
      </c>
      <c r="E217" s="83" t="n">
        <v>2</v>
      </c>
      <c r="F217" s="83" t="n">
        <v>0</v>
      </c>
      <c r="G217" s="83">
        <f>D217+E217+F217</f>
        <v/>
      </c>
      <c r="H217" s="100">
        <f>IF(G217&gt;0, D217/G217, 0)</f>
        <v/>
      </c>
      <c r="I217" s="101">
        <f>IF(G217&gt;0, (D217-E217)/G217, 0)</f>
        <v/>
      </c>
    </row>
    <row r="218" ht="18" customHeight="1" s="55">
      <c r="A218" s="88" t="inlineStr">
        <is>
          <t>DI838</t>
        </is>
      </c>
      <c r="B218" s="86" t="n">
        <v>11</v>
      </c>
      <c r="C218" s="88" t="inlineStr">
        <is>
          <t>10:36:28</t>
        </is>
      </c>
      <c r="D218" s="86" t="n">
        <v>4</v>
      </c>
      <c r="E218" s="86" t="n">
        <v>1</v>
      </c>
      <c r="F218" s="86" t="n">
        <v>0</v>
      </c>
      <c r="G218" s="86">
        <f>D218+E218+F218</f>
        <v/>
      </c>
      <c r="H218" s="102">
        <f>IF(G218&gt;0, D218/G218, 0)</f>
        <v/>
      </c>
      <c r="I218" s="103">
        <f>IF(G218&gt;0, (D218-E218)/G218, 0)</f>
        <v/>
      </c>
    </row>
    <row r="219" ht="18" customHeight="1" s="55">
      <c r="A219" s="85" t="inlineStr">
        <is>
          <t>DI838</t>
        </is>
      </c>
      <c r="B219" s="83" t="n">
        <v>12</v>
      </c>
      <c r="C219" s="85" t="inlineStr">
        <is>
          <t>10:37:21</t>
        </is>
      </c>
      <c r="D219" s="83" t="n">
        <v>2</v>
      </c>
      <c r="E219" s="83" t="n">
        <v>0</v>
      </c>
      <c r="F219" s="83" t="n">
        <v>1</v>
      </c>
      <c r="G219" s="83">
        <f>D219+E219+F219</f>
        <v/>
      </c>
      <c r="H219" s="100">
        <f>IF(G219&gt;0, D219/G219, 0)</f>
        <v/>
      </c>
      <c r="I219" s="101">
        <f>IF(G219&gt;0, (D219-E219)/G219, 0)</f>
        <v/>
      </c>
    </row>
    <row r="220" ht="18" customHeight="1" s="55">
      <c r="A220" s="88" t="inlineStr">
        <is>
          <t>DI838</t>
        </is>
      </c>
      <c r="B220" s="86" t="n">
        <v>13</v>
      </c>
      <c r="C220" s="88" t="inlineStr">
        <is>
          <t>10:37:55</t>
        </is>
      </c>
      <c r="D220" s="86" t="n">
        <v>5</v>
      </c>
      <c r="E220" s="86" t="n">
        <v>1</v>
      </c>
      <c r="F220" s="86" t="n">
        <v>2</v>
      </c>
      <c r="G220" s="86">
        <f>D220+E220+F220</f>
        <v/>
      </c>
      <c r="H220" s="102">
        <f>IF(G220&gt;0, D220/G220, 0)</f>
        <v/>
      </c>
      <c r="I220" s="103">
        <f>IF(G220&gt;0, (D220-E220)/G220, 0)</f>
        <v/>
      </c>
    </row>
    <row r="221" ht="18" customHeight="1" s="55">
      <c r="A221" s="85" t="inlineStr">
        <is>
          <t>DI838</t>
        </is>
      </c>
      <c r="B221" s="83" t="n">
        <v>14</v>
      </c>
      <c r="C221" s="85" t="inlineStr">
        <is>
          <t>10:39:04</t>
        </is>
      </c>
      <c r="D221" s="83" t="n">
        <v>6</v>
      </c>
      <c r="E221" s="83" t="n">
        <v>2</v>
      </c>
      <c r="F221" s="83" t="n">
        <v>0</v>
      </c>
      <c r="G221" s="83">
        <f>D221+E221+F221</f>
        <v/>
      </c>
      <c r="H221" s="100">
        <f>IF(G221&gt;0, D221/G221, 0)</f>
        <v/>
      </c>
      <c r="I221" s="101">
        <f>IF(G221&gt;0, (D221-E221)/G221, 0)</f>
        <v/>
      </c>
    </row>
    <row r="222" ht="18" customHeight="1" s="55">
      <c r="A222" s="88" t="inlineStr">
        <is>
          <t>DI838</t>
        </is>
      </c>
      <c r="B222" s="86" t="n">
        <v>15</v>
      </c>
      <c r="C222" s="88" t="inlineStr">
        <is>
          <t>10:39:39</t>
        </is>
      </c>
      <c r="D222" s="86" t="n">
        <v>7</v>
      </c>
      <c r="E222" s="86" t="n">
        <v>3</v>
      </c>
      <c r="F222" s="86" t="n">
        <v>0</v>
      </c>
      <c r="G222" s="86">
        <f>D222+E222+F222</f>
        <v/>
      </c>
      <c r="H222" s="102">
        <f>IF(G222&gt;0, D222/G222, 0)</f>
        <v/>
      </c>
      <c r="I222" s="103">
        <f>IF(G222&gt;0, (D222-E222)/G222, 0)</f>
        <v/>
      </c>
    </row>
    <row r="223" ht="18" customHeight="1" s="55">
      <c r="A223" s="85" t="inlineStr">
        <is>
          <t>DI838</t>
        </is>
      </c>
      <c r="B223" s="83" t="n">
        <v>16</v>
      </c>
      <c r="C223" s="85" t="inlineStr">
        <is>
          <t>10:40:22</t>
        </is>
      </c>
      <c r="D223" s="83" t="n">
        <v>1</v>
      </c>
      <c r="E223" s="83" t="n">
        <v>4</v>
      </c>
      <c r="F223" s="83" t="n">
        <v>0</v>
      </c>
      <c r="G223" s="83">
        <f>D223+E223+F223</f>
        <v/>
      </c>
      <c r="H223" s="100">
        <f>IF(G223&gt;0, D223/G223, 0)</f>
        <v/>
      </c>
      <c r="I223" s="101">
        <f>IF(G223&gt;0, (D223-E223)/G223, 0)</f>
        <v/>
      </c>
    </row>
    <row r="224" ht="18" customHeight="1" s="55">
      <c r="A224" s="88" t="inlineStr">
        <is>
          <t>DI838</t>
        </is>
      </c>
      <c r="B224" s="86" t="n">
        <v>17</v>
      </c>
      <c r="C224" s="88" t="inlineStr">
        <is>
          <t>10:40:29</t>
        </is>
      </c>
      <c r="D224" s="86" t="n">
        <v>3</v>
      </c>
      <c r="E224" s="86" t="n">
        <v>1</v>
      </c>
      <c r="F224" s="86" t="n">
        <v>0</v>
      </c>
      <c r="G224" s="86">
        <f>D224+E224+F224</f>
        <v/>
      </c>
      <c r="H224" s="102">
        <f>IF(G224&gt;0, D224/G224, 0)</f>
        <v/>
      </c>
      <c r="I224" s="103">
        <f>IF(G224&gt;0, (D224-E224)/G224, 0)</f>
        <v/>
      </c>
    </row>
    <row r="225" ht="18" customHeight="1" s="55">
      <c r="A225" s="85" t="inlineStr">
        <is>
          <t>DI838</t>
        </is>
      </c>
      <c r="B225" s="83" t="n">
        <v>18</v>
      </c>
      <c r="C225" s="85" t="inlineStr">
        <is>
          <t>10:40:39</t>
        </is>
      </c>
      <c r="D225" s="83" t="n">
        <v>3</v>
      </c>
      <c r="E225" s="83" t="n">
        <v>2</v>
      </c>
      <c r="F225" s="83" t="n">
        <v>1</v>
      </c>
      <c r="G225" s="83">
        <f>D225+E225+F225</f>
        <v/>
      </c>
      <c r="H225" s="100">
        <f>IF(G225&gt;0, D225/G225, 0)</f>
        <v/>
      </c>
      <c r="I225" s="101">
        <f>IF(G225&gt;0, (D225-E225)/G225, 0)</f>
        <v/>
      </c>
    </row>
    <row r="226" ht="18" customHeight="1" s="55">
      <c r="A226" s="88" t="inlineStr">
        <is>
          <t>DI838</t>
        </is>
      </c>
      <c r="B226" s="86" t="n">
        <v>19</v>
      </c>
      <c r="C226" s="88" t="inlineStr">
        <is>
          <t>10:41:14</t>
        </is>
      </c>
      <c r="D226" s="86" t="n">
        <v>5</v>
      </c>
      <c r="E226" s="86" t="n">
        <v>4</v>
      </c>
      <c r="F226" s="86" t="n">
        <v>0</v>
      </c>
      <c r="G226" s="86">
        <f>D226+E226+F226</f>
        <v/>
      </c>
      <c r="H226" s="102">
        <f>IF(G226&gt;0, D226/G226, 0)</f>
        <v/>
      </c>
      <c r="I226" s="103">
        <f>IF(G226&gt;0, (D226-E226)/G226, 0)</f>
        <v/>
      </c>
    </row>
    <row r="227" ht="18" customHeight="1" s="55">
      <c r="A227" s="85" t="inlineStr">
        <is>
          <t>DI838</t>
        </is>
      </c>
      <c r="B227" s="83" t="n">
        <v>20</v>
      </c>
      <c r="C227" s="85" t="inlineStr">
        <is>
          <t>10:43:24</t>
        </is>
      </c>
      <c r="D227" s="83" t="n">
        <v>2</v>
      </c>
      <c r="E227" s="83" t="n">
        <v>2</v>
      </c>
      <c r="F227" s="83" t="n">
        <v>0</v>
      </c>
      <c r="G227" s="83">
        <f>D227+E227+F227</f>
        <v/>
      </c>
      <c r="H227" s="100">
        <f>IF(G227&gt;0, D227/G227, 0)</f>
        <v/>
      </c>
      <c r="I227" s="101">
        <f>IF(G227&gt;0, (D227-E227)/G227, 0)</f>
        <v/>
      </c>
    </row>
    <row r="228" ht="18" customHeight="1" s="55">
      <c r="A228" s="88" t="inlineStr">
        <is>
          <t>DI838</t>
        </is>
      </c>
      <c r="B228" s="86" t="n">
        <v>21</v>
      </c>
      <c r="C228" s="88" t="inlineStr">
        <is>
          <t>10:45:24</t>
        </is>
      </c>
      <c r="D228" s="86" t="n">
        <v>5</v>
      </c>
      <c r="E228" s="86" t="n">
        <v>4</v>
      </c>
      <c r="F228" s="86" t="n">
        <v>2</v>
      </c>
      <c r="G228" s="86">
        <f>D228+E228+F228</f>
        <v/>
      </c>
      <c r="H228" s="102">
        <f>IF(G228&gt;0, D228/G228, 0)</f>
        <v/>
      </c>
      <c r="I228" s="103">
        <f>IF(G228&gt;0, (D228-E228)/G228, 0)</f>
        <v/>
      </c>
    </row>
    <row r="229" ht="18" customHeight="1" s="55">
      <c r="A229" s="85" t="inlineStr">
        <is>
          <t>DI838</t>
        </is>
      </c>
      <c r="B229" s="83" t="n">
        <v>22</v>
      </c>
      <c r="C229" s="85" t="inlineStr">
        <is>
          <t>10:45:27</t>
        </is>
      </c>
      <c r="D229" s="83" t="n">
        <v>5</v>
      </c>
      <c r="E229" s="83" t="n">
        <v>6</v>
      </c>
      <c r="F229" s="83" t="n">
        <v>0</v>
      </c>
      <c r="G229" s="83">
        <f>D229+E229+F229</f>
        <v/>
      </c>
      <c r="H229" s="100">
        <f>IF(G229&gt;0, D229/G229, 0)</f>
        <v/>
      </c>
      <c r="I229" s="101">
        <f>IF(G229&gt;0, (D229-E229)/G229, 0)</f>
        <v/>
      </c>
    </row>
    <row r="230" ht="18" customHeight="1" s="55">
      <c r="A230" s="88" t="inlineStr">
        <is>
          <t>DI838</t>
        </is>
      </c>
      <c r="B230" s="86" t="n">
        <v>23</v>
      </c>
      <c r="C230" s="88" t="inlineStr">
        <is>
          <t>10:45:33</t>
        </is>
      </c>
      <c r="D230" s="86" t="n">
        <v>8</v>
      </c>
      <c r="E230" s="86" t="n">
        <v>4</v>
      </c>
      <c r="F230" s="86" t="n">
        <v>0</v>
      </c>
      <c r="G230" s="86">
        <f>D230+E230+F230</f>
        <v/>
      </c>
      <c r="H230" s="102">
        <f>IF(G230&gt;0, D230/G230, 0)</f>
        <v/>
      </c>
      <c r="I230" s="103">
        <f>IF(G230&gt;0, (D230-E230)/G230, 0)</f>
        <v/>
      </c>
    </row>
    <row r="231" ht="18" customHeight="1" s="55">
      <c r="A231" s="85" t="inlineStr">
        <is>
          <t>DI838</t>
        </is>
      </c>
      <c r="B231" s="83" t="n">
        <v>24</v>
      </c>
      <c r="C231" s="85" t="inlineStr">
        <is>
          <t>10:45:40</t>
        </is>
      </c>
      <c r="D231" s="83" t="n">
        <v>9</v>
      </c>
      <c r="E231" s="83" t="n">
        <v>3</v>
      </c>
      <c r="F231" s="83" t="n">
        <v>1</v>
      </c>
      <c r="G231" s="83">
        <f>D231+E231+F231</f>
        <v/>
      </c>
      <c r="H231" s="100">
        <f>IF(G231&gt;0, D231/G231, 0)</f>
        <v/>
      </c>
      <c r="I231" s="101">
        <f>IF(G231&gt;0, (D231-E231)/G231, 0)</f>
        <v/>
      </c>
    </row>
    <row r="232" ht="18" customHeight="1" s="55">
      <c r="A232" s="88" t="inlineStr">
        <is>
          <t>DI838</t>
        </is>
      </c>
      <c r="B232" s="86" t="n">
        <v>25</v>
      </c>
      <c r="C232" s="88" t="inlineStr">
        <is>
          <t>10:47:43</t>
        </is>
      </c>
      <c r="D232" s="86" t="n">
        <v>5</v>
      </c>
      <c r="E232" s="86" t="n">
        <v>5</v>
      </c>
      <c r="F232" s="86" t="n">
        <v>1</v>
      </c>
      <c r="G232" s="86">
        <f>D232+E232+F232</f>
        <v/>
      </c>
      <c r="H232" s="102">
        <f>IF(G232&gt;0, D232/G232, 0)</f>
        <v/>
      </c>
      <c r="I232" s="103">
        <f>IF(G232&gt;0, (D232-E232)/G232, 0)</f>
        <v/>
      </c>
    </row>
    <row r="233" ht="18" customHeight="1" s="55">
      <c r="A233" s="85" t="inlineStr">
        <is>
          <t>DI838</t>
        </is>
      </c>
      <c r="B233" s="83" t="n">
        <v>26</v>
      </c>
      <c r="C233" s="85" t="inlineStr">
        <is>
          <t>10:48:17</t>
        </is>
      </c>
      <c r="D233" s="83" t="n">
        <v>4</v>
      </c>
      <c r="E233" s="83" t="n">
        <v>6</v>
      </c>
      <c r="F233" s="83" t="n">
        <v>1</v>
      </c>
      <c r="G233" s="83">
        <f>D233+E233+F233</f>
        <v/>
      </c>
      <c r="H233" s="100">
        <f>IF(G233&gt;0, D233/G233, 0)</f>
        <v/>
      </c>
      <c r="I233" s="101">
        <f>IF(G233&gt;0, (D233-E233)/G233, 0)</f>
        <v/>
      </c>
    </row>
    <row r="234" ht="18" customHeight="1" s="55">
      <c r="A234" s="88" t="inlineStr">
        <is>
          <t>DI838</t>
        </is>
      </c>
      <c r="B234" s="86" t="n">
        <v>27</v>
      </c>
      <c r="C234" s="88" t="inlineStr">
        <is>
          <t>10:48:35</t>
        </is>
      </c>
      <c r="D234" s="86" t="n">
        <v>3</v>
      </c>
      <c r="E234" s="86" t="n">
        <v>2</v>
      </c>
      <c r="F234" s="86" t="n">
        <v>3</v>
      </c>
      <c r="G234" s="86">
        <f>D234+E234+F234</f>
        <v/>
      </c>
      <c r="H234" s="102">
        <f>IF(G234&gt;0, D234/G234, 0)</f>
        <v/>
      </c>
      <c r="I234" s="103">
        <f>IF(G234&gt;0, (D234-E234)/G234, 0)</f>
        <v/>
      </c>
    </row>
    <row r="235" ht="18" customHeight="1" s="55">
      <c r="A235" s="85" t="inlineStr">
        <is>
          <t>DI838</t>
        </is>
      </c>
      <c r="B235" s="83" t="n">
        <v>28</v>
      </c>
      <c r="C235" s="85" t="inlineStr">
        <is>
          <t>10:49:26</t>
        </is>
      </c>
      <c r="D235" s="83" t="n">
        <v>4</v>
      </c>
      <c r="E235" s="83" t="n">
        <v>5</v>
      </c>
      <c r="F235" s="83" t="n">
        <v>1</v>
      </c>
      <c r="G235" s="83">
        <f>D235+E235+F235</f>
        <v/>
      </c>
      <c r="H235" s="100">
        <f>IF(G235&gt;0, D235/G235, 0)</f>
        <v/>
      </c>
      <c r="I235" s="101">
        <f>IF(G235&gt;0, (D235-E235)/G235, 0)</f>
        <v/>
      </c>
    </row>
    <row r="236" ht="18" customHeight="1" s="55">
      <c r="A236" s="88" t="inlineStr">
        <is>
          <t>DI838</t>
        </is>
      </c>
      <c r="B236" s="86" t="n">
        <v>29</v>
      </c>
      <c r="C236" s="88" t="inlineStr">
        <is>
          <t>10:49:30</t>
        </is>
      </c>
      <c r="D236" s="86" t="n">
        <v>3</v>
      </c>
      <c r="E236" s="86" t="n">
        <v>5</v>
      </c>
      <c r="F236" s="86" t="n">
        <v>2</v>
      </c>
      <c r="G236" s="86">
        <f>D236+E236+F236</f>
        <v/>
      </c>
      <c r="H236" s="102">
        <f>IF(G236&gt;0, D236/G236, 0)</f>
        <v/>
      </c>
      <c r="I236" s="103">
        <f>IF(G236&gt;0, (D236-E236)/G236, 0)</f>
        <v/>
      </c>
    </row>
    <row r="237" ht="18" customHeight="1" s="55">
      <c r="A237" s="85" t="inlineStr">
        <is>
          <t>DI841</t>
        </is>
      </c>
      <c r="B237" s="83" t="n">
        <v>1</v>
      </c>
      <c r="C237" s="85" t="inlineStr">
        <is>
          <t>04:04:13</t>
        </is>
      </c>
      <c r="D237" s="83" t="n">
        <v>0</v>
      </c>
      <c r="E237" s="83" t="n">
        <v>0</v>
      </c>
      <c r="F237" s="83" t="n">
        <v>0</v>
      </c>
      <c r="G237" s="83">
        <f>D237+E237+F237</f>
        <v/>
      </c>
      <c r="H237" s="100">
        <f>IF(G237&gt;0, D237/G237, 0)</f>
        <v/>
      </c>
      <c r="I237" s="101">
        <f>IF(G237&gt;0, (D237-E237)/G237, 0)</f>
        <v/>
      </c>
    </row>
    <row r="238" ht="18" customHeight="1" s="55">
      <c r="A238" s="88" t="inlineStr">
        <is>
          <t>DI841</t>
        </is>
      </c>
      <c r="B238" s="86" t="n">
        <v>2</v>
      </c>
      <c r="C238" s="88" t="inlineStr">
        <is>
          <t>04:05:31</t>
        </is>
      </c>
      <c r="D238" s="86" t="n">
        <v>2</v>
      </c>
      <c r="E238" s="86" t="n">
        <v>2</v>
      </c>
      <c r="F238" s="86" t="n">
        <v>0</v>
      </c>
      <c r="G238" s="86">
        <f>D238+E238+F238</f>
        <v/>
      </c>
      <c r="H238" s="102">
        <f>IF(G238&gt;0, D238/G238, 0)</f>
        <v/>
      </c>
      <c r="I238" s="103">
        <f>IF(G238&gt;0, (D238-E238)/G238, 0)</f>
        <v/>
      </c>
    </row>
    <row r="239" ht="18" customHeight="1" s="55">
      <c r="A239" s="85" t="inlineStr">
        <is>
          <t>DI841</t>
        </is>
      </c>
      <c r="B239" s="83" t="n">
        <v>3</v>
      </c>
      <c r="C239" s="85" t="inlineStr">
        <is>
          <t>04:06:23</t>
        </is>
      </c>
      <c r="D239" s="83" t="n">
        <v>1</v>
      </c>
      <c r="E239" s="83" t="n">
        <v>1</v>
      </c>
      <c r="F239" s="83" t="n">
        <v>0</v>
      </c>
      <c r="G239" s="83">
        <f>D239+E239+F239</f>
        <v/>
      </c>
      <c r="H239" s="100">
        <f>IF(G239&gt;0, D239/G239, 0)</f>
        <v/>
      </c>
      <c r="I239" s="101">
        <f>IF(G239&gt;0, (D239-E239)/G239, 0)</f>
        <v/>
      </c>
    </row>
    <row r="240" ht="18" customHeight="1" s="55">
      <c r="A240" s="88" t="inlineStr">
        <is>
          <t>DI841</t>
        </is>
      </c>
      <c r="B240" s="86" t="n">
        <v>4</v>
      </c>
      <c r="C240" s="88" t="inlineStr">
        <is>
          <t>04:07:06</t>
        </is>
      </c>
      <c r="D240" s="86" t="n">
        <v>0</v>
      </c>
      <c r="E240" s="86" t="n">
        <v>1</v>
      </c>
      <c r="F240" s="86" t="n">
        <v>0</v>
      </c>
      <c r="G240" s="86">
        <f>D240+E240+F240</f>
        <v/>
      </c>
      <c r="H240" s="102">
        <f>IF(G240&gt;0, D240/G240, 0)</f>
        <v/>
      </c>
      <c r="I240" s="103">
        <f>IF(G240&gt;0, (D240-E240)/G240, 0)</f>
        <v/>
      </c>
    </row>
    <row r="241" ht="18" customHeight="1" s="55">
      <c r="A241" s="85" t="inlineStr">
        <is>
          <t>DI841</t>
        </is>
      </c>
      <c r="B241" s="83" t="n">
        <v>5</v>
      </c>
      <c r="C241" s="85" t="inlineStr">
        <is>
          <t>04:07:15</t>
        </is>
      </c>
      <c r="D241" s="83" t="n">
        <v>0</v>
      </c>
      <c r="E241" s="83" t="n">
        <v>1</v>
      </c>
      <c r="F241" s="83" t="n">
        <v>0</v>
      </c>
      <c r="G241" s="83">
        <f>D241+E241+F241</f>
        <v/>
      </c>
      <c r="H241" s="100">
        <f>IF(G241&gt;0, D241/G241, 0)</f>
        <v/>
      </c>
      <c r="I241" s="101">
        <f>IF(G241&gt;0, (D241-E241)/G241, 0)</f>
        <v/>
      </c>
    </row>
    <row r="242" ht="18" customHeight="1" s="55">
      <c r="A242" s="88" t="inlineStr">
        <is>
          <t>DI841</t>
        </is>
      </c>
      <c r="B242" s="86" t="n">
        <v>6</v>
      </c>
      <c r="C242" s="88" t="inlineStr">
        <is>
          <t>04:07:24</t>
        </is>
      </c>
      <c r="D242" s="86" t="n">
        <v>1</v>
      </c>
      <c r="E242" s="86" t="n">
        <v>0</v>
      </c>
      <c r="F242" s="86" t="n">
        <v>0</v>
      </c>
      <c r="G242" s="86">
        <f>D242+E242+F242</f>
        <v/>
      </c>
      <c r="H242" s="102">
        <f>IF(G242&gt;0, D242/G242, 0)</f>
        <v/>
      </c>
      <c r="I242" s="103">
        <f>IF(G242&gt;0, (D242-E242)/G242, 0)</f>
        <v/>
      </c>
    </row>
    <row r="243" ht="18" customHeight="1" s="55">
      <c r="A243" s="85" t="inlineStr">
        <is>
          <t>DI841</t>
        </is>
      </c>
      <c r="B243" s="83" t="n">
        <v>7</v>
      </c>
      <c r="C243" s="85" t="inlineStr">
        <is>
          <t>04:08:50</t>
        </is>
      </c>
      <c r="D243" s="83" t="n">
        <v>3</v>
      </c>
      <c r="E243" s="83" t="n">
        <v>0</v>
      </c>
      <c r="F243" s="83" t="n">
        <v>0</v>
      </c>
      <c r="G243" s="83">
        <f>D243+E243+F243</f>
        <v/>
      </c>
      <c r="H243" s="100">
        <f>IF(G243&gt;0, D243/G243, 0)</f>
        <v/>
      </c>
      <c r="I243" s="101">
        <f>IF(G243&gt;0, (D243-E243)/G243, 0)</f>
        <v/>
      </c>
    </row>
    <row r="244" ht="18" customHeight="1" s="55">
      <c r="A244" s="88" t="inlineStr">
        <is>
          <t>DI841</t>
        </is>
      </c>
      <c r="B244" s="86" t="n">
        <v>8</v>
      </c>
      <c r="C244" s="88" t="inlineStr">
        <is>
          <t>04:09:07</t>
        </is>
      </c>
      <c r="D244" s="86" t="n">
        <v>3</v>
      </c>
      <c r="E244" s="86" t="n">
        <v>0</v>
      </c>
      <c r="F244" s="86" t="n">
        <v>0</v>
      </c>
      <c r="G244" s="86">
        <f>D244+E244+F244</f>
        <v/>
      </c>
      <c r="H244" s="102">
        <f>IF(G244&gt;0, D244/G244, 0)</f>
        <v/>
      </c>
      <c r="I244" s="103">
        <f>IF(G244&gt;0, (D244-E244)/G244, 0)</f>
        <v/>
      </c>
    </row>
    <row r="245" ht="18" customHeight="1" s="55">
      <c r="A245" s="85" t="inlineStr">
        <is>
          <t>DI841</t>
        </is>
      </c>
      <c r="B245" s="83" t="n">
        <v>9</v>
      </c>
      <c r="C245" s="85" t="inlineStr">
        <is>
          <t>04:09:16</t>
        </is>
      </c>
      <c r="D245" s="83" t="n">
        <v>4</v>
      </c>
      <c r="E245" s="83" t="n">
        <v>1</v>
      </c>
      <c r="F245" s="83" t="n">
        <v>3</v>
      </c>
      <c r="G245" s="83">
        <f>D245+E245+F245</f>
        <v/>
      </c>
      <c r="H245" s="100">
        <f>IF(G245&gt;0, D245/G245, 0)</f>
        <v/>
      </c>
      <c r="I245" s="101">
        <f>IF(G245&gt;0, (D245-E245)/G245, 0)</f>
        <v/>
      </c>
    </row>
    <row r="246" ht="18" customHeight="1" s="55">
      <c r="A246" s="88" t="inlineStr">
        <is>
          <t>DI841</t>
        </is>
      </c>
      <c r="B246" s="86" t="n">
        <v>10</v>
      </c>
      <c r="C246" s="88" t="inlineStr">
        <is>
          <t>04:09:50</t>
        </is>
      </c>
      <c r="D246" s="86" t="n">
        <v>0</v>
      </c>
      <c r="E246" s="86" t="n">
        <v>2</v>
      </c>
      <c r="F246" s="86" t="n">
        <v>0</v>
      </c>
      <c r="G246" s="86">
        <f>D246+E246+F246</f>
        <v/>
      </c>
      <c r="H246" s="102">
        <f>IF(G246&gt;0, D246/G246, 0)</f>
        <v/>
      </c>
      <c r="I246" s="103">
        <f>IF(G246&gt;0, (D246-E246)/G246, 0)</f>
        <v/>
      </c>
    </row>
    <row r="247" ht="18" customHeight="1" s="55">
      <c r="A247" s="85" t="inlineStr">
        <is>
          <t>DI841</t>
        </is>
      </c>
      <c r="B247" s="83" t="n">
        <v>11</v>
      </c>
      <c r="C247" s="85" t="inlineStr">
        <is>
          <t>04:11:25</t>
        </is>
      </c>
      <c r="D247" s="83" t="n">
        <v>0</v>
      </c>
      <c r="E247" s="83" t="n">
        <v>1</v>
      </c>
      <c r="F247" s="83" t="n">
        <v>0</v>
      </c>
      <c r="G247" s="83">
        <f>D247+E247+F247</f>
        <v/>
      </c>
      <c r="H247" s="100">
        <f>IF(G247&gt;0, D247/G247, 0)</f>
        <v/>
      </c>
      <c r="I247" s="101">
        <f>IF(G247&gt;0, (D247-E247)/G247, 0)</f>
        <v/>
      </c>
    </row>
    <row r="248" ht="18" customHeight="1" s="55">
      <c r="A248" s="88" t="inlineStr">
        <is>
          <t>DI841</t>
        </is>
      </c>
      <c r="B248" s="86" t="n">
        <v>12</v>
      </c>
      <c r="C248" s="88" t="inlineStr">
        <is>
          <t>04:14:01</t>
        </is>
      </c>
      <c r="D248" s="86" t="n">
        <v>4</v>
      </c>
      <c r="E248" s="86" t="n">
        <v>2</v>
      </c>
      <c r="F248" s="86" t="n">
        <v>1</v>
      </c>
      <c r="G248" s="86">
        <f>D248+E248+F248</f>
        <v/>
      </c>
      <c r="H248" s="102">
        <f>IF(G248&gt;0, D248/G248, 0)</f>
        <v/>
      </c>
      <c r="I248" s="103">
        <f>IF(G248&gt;0, (D248-E248)/G248, 0)</f>
        <v/>
      </c>
    </row>
    <row r="249" ht="18" customHeight="1" s="55">
      <c r="A249" s="85" t="inlineStr">
        <is>
          <t>DI841</t>
        </is>
      </c>
      <c r="B249" s="83" t="n">
        <v>13</v>
      </c>
      <c r="C249" s="85" t="inlineStr">
        <is>
          <t>04:14:19</t>
        </is>
      </c>
      <c r="D249" s="83" t="n">
        <v>1</v>
      </c>
      <c r="E249" s="83" t="n">
        <v>0</v>
      </c>
      <c r="F249" s="83" t="n">
        <v>0</v>
      </c>
      <c r="G249" s="83">
        <f>D249+E249+F249</f>
        <v/>
      </c>
      <c r="H249" s="100">
        <f>IF(G249&gt;0, D249/G249, 0)</f>
        <v/>
      </c>
      <c r="I249" s="101">
        <f>IF(G249&gt;0, (D249-E249)/G249, 0)</f>
        <v/>
      </c>
    </row>
    <row r="250" ht="18" customHeight="1" s="55">
      <c r="A250" s="88" t="inlineStr">
        <is>
          <t>DI841</t>
        </is>
      </c>
      <c r="B250" s="86" t="n">
        <v>14</v>
      </c>
      <c r="C250" s="88" t="inlineStr">
        <is>
          <t>04:16:36</t>
        </is>
      </c>
      <c r="D250" s="86" t="n">
        <v>2</v>
      </c>
      <c r="E250" s="86" t="n">
        <v>2</v>
      </c>
      <c r="F250" s="86" t="n">
        <v>0</v>
      </c>
      <c r="G250" s="86">
        <f>D250+E250+F250</f>
        <v/>
      </c>
      <c r="H250" s="102">
        <f>IF(G250&gt;0, D250/G250, 0)</f>
        <v/>
      </c>
      <c r="I250" s="103">
        <f>IF(G250&gt;0, (D250-E250)/G250, 0)</f>
        <v/>
      </c>
    </row>
    <row r="251" ht="18" customHeight="1" s="55">
      <c r="A251" s="85" t="inlineStr">
        <is>
          <t>DI841</t>
        </is>
      </c>
      <c r="B251" s="83" t="n">
        <v>15</v>
      </c>
      <c r="C251" s="85" t="inlineStr">
        <is>
          <t>04:16:45</t>
        </is>
      </c>
      <c r="D251" s="83" t="n">
        <v>7</v>
      </c>
      <c r="E251" s="83" t="n">
        <v>3</v>
      </c>
      <c r="F251" s="83" t="n">
        <v>0</v>
      </c>
      <c r="G251" s="83">
        <f>D251+E251+F251</f>
        <v/>
      </c>
      <c r="H251" s="100">
        <f>IF(G251&gt;0, D251/G251, 0)</f>
        <v/>
      </c>
      <c r="I251" s="101">
        <f>IF(G251&gt;0, (D251-E251)/G251, 0)</f>
        <v/>
      </c>
    </row>
    <row r="252" ht="18" customHeight="1" s="55">
      <c r="A252" s="88" t="inlineStr">
        <is>
          <t>DI841</t>
        </is>
      </c>
      <c r="B252" s="86" t="n">
        <v>16</v>
      </c>
      <c r="C252" s="88" t="inlineStr">
        <is>
          <t>04:17:02</t>
        </is>
      </c>
      <c r="D252" s="86" t="n">
        <v>0</v>
      </c>
      <c r="E252" s="86" t="n">
        <v>0</v>
      </c>
      <c r="F252" s="86" t="n">
        <v>0</v>
      </c>
      <c r="G252" s="86">
        <f>D252+E252+F252</f>
        <v/>
      </c>
      <c r="H252" s="102">
        <f>IF(G252&gt;0, D252/G252, 0)</f>
        <v/>
      </c>
      <c r="I252" s="103">
        <f>IF(G252&gt;0, (D252-E252)/G252, 0)</f>
        <v/>
      </c>
    </row>
    <row r="253" ht="18" customHeight="1" s="55">
      <c r="A253" s="85" t="inlineStr">
        <is>
          <t>DI841</t>
        </is>
      </c>
      <c r="B253" s="83" t="n">
        <v>17</v>
      </c>
      <c r="C253" s="85" t="inlineStr">
        <is>
          <t>04:17:11</t>
        </is>
      </c>
      <c r="D253" s="83" t="n">
        <v>0</v>
      </c>
      <c r="E253" s="83" t="n">
        <v>0</v>
      </c>
      <c r="F253" s="83" t="n">
        <v>0</v>
      </c>
      <c r="G253" s="83">
        <f>D253+E253+F253</f>
        <v/>
      </c>
      <c r="H253" s="100">
        <f>IF(G253&gt;0, D253/G253, 0)</f>
        <v/>
      </c>
      <c r="I253" s="101">
        <f>IF(G253&gt;0, (D253-E253)/G253, 0)</f>
        <v/>
      </c>
    </row>
    <row r="254" ht="18" customHeight="1" s="55">
      <c r="A254" s="88" t="inlineStr">
        <is>
          <t>DI841</t>
        </is>
      </c>
      <c r="B254" s="86" t="n">
        <v>18</v>
      </c>
      <c r="C254" s="88" t="inlineStr">
        <is>
          <t>04:18:20</t>
        </is>
      </c>
      <c r="D254" s="86" t="n">
        <v>1</v>
      </c>
      <c r="E254" s="86" t="n">
        <v>0</v>
      </c>
      <c r="F254" s="86" t="n">
        <v>0</v>
      </c>
      <c r="G254" s="86">
        <f>D254+E254+F254</f>
        <v/>
      </c>
      <c r="H254" s="102">
        <f>IF(G254&gt;0, D254/G254, 0)</f>
        <v/>
      </c>
      <c r="I254" s="103">
        <f>IF(G254&gt;0, (D254-E254)/G254, 0)</f>
        <v/>
      </c>
    </row>
    <row r="255" ht="18" customHeight="1" s="55">
      <c r="A255" s="85" t="inlineStr">
        <is>
          <t>DI841</t>
        </is>
      </c>
      <c r="B255" s="83" t="n">
        <v>19</v>
      </c>
      <c r="C255" s="85" t="inlineStr">
        <is>
          <t>04:19:29</t>
        </is>
      </c>
      <c r="D255" s="83" t="n">
        <v>3</v>
      </c>
      <c r="E255" s="83" t="n">
        <v>1</v>
      </c>
      <c r="F255" s="83" t="n">
        <v>2</v>
      </c>
      <c r="G255" s="83">
        <f>D255+E255+F255</f>
        <v/>
      </c>
      <c r="H255" s="100">
        <f>IF(G255&gt;0, D255/G255, 0)</f>
        <v/>
      </c>
      <c r="I255" s="101">
        <f>IF(G255&gt;0, (D255-E255)/G255, 0)</f>
        <v/>
      </c>
    </row>
    <row r="256" ht="18" customHeight="1" s="55">
      <c r="A256" s="88" t="inlineStr">
        <is>
          <t>DI841</t>
        </is>
      </c>
      <c r="B256" s="86" t="n">
        <v>20</v>
      </c>
      <c r="C256" s="88" t="inlineStr">
        <is>
          <t>04:22:05</t>
        </is>
      </c>
      <c r="D256" s="86" t="n">
        <v>1</v>
      </c>
      <c r="E256" s="86" t="n">
        <v>0</v>
      </c>
      <c r="F256" s="86" t="n">
        <v>1</v>
      </c>
      <c r="G256" s="86">
        <f>D256+E256+F256</f>
        <v/>
      </c>
      <c r="H256" s="102">
        <f>IF(G256&gt;0, D256/G256, 0)</f>
        <v/>
      </c>
      <c r="I256" s="103">
        <f>IF(G256&gt;0, (D256-E256)/G256, 0)</f>
        <v/>
      </c>
    </row>
    <row r="257" ht="18" customHeight="1" s="55">
      <c r="A257" s="85" t="inlineStr">
        <is>
          <t>DI841</t>
        </is>
      </c>
      <c r="B257" s="83" t="n">
        <v>21</v>
      </c>
      <c r="C257" s="85" t="inlineStr">
        <is>
          <t>04:23:05</t>
        </is>
      </c>
      <c r="D257" s="83" t="n">
        <v>2</v>
      </c>
      <c r="E257" s="83" t="n">
        <v>1</v>
      </c>
      <c r="F257" s="83" t="n">
        <v>1</v>
      </c>
      <c r="G257" s="83">
        <f>D257+E257+F257</f>
        <v/>
      </c>
      <c r="H257" s="100">
        <f>IF(G257&gt;0, D257/G257, 0)</f>
        <v/>
      </c>
      <c r="I257" s="101">
        <f>IF(G257&gt;0, (D257-E257)/G257, 0)</f>
        <v/>
      </c>
    </row>
    <row r="258" ht="18" customHeight="1" s="55">
      <c r="A258" s="88" t="inlineStr">
        <is>
          <t>DI841</t>
        </is>
      </c>
      <c r="B258" s="86" t="n">
        <v>22</v>
      </c>
      <c r="C258" s="88" t="inlineStr">
        <is>
          <t>04:23:57</t>
        </is>
      </c>
      <c r="D258" s="86" t="n">
        <v>1</v>
      </c>
      <c r="E258" s="86" t="n">
        <v>0</v>
      </c>
      <c r="F258" s="86" t="n">
        <v>0</v>
      </c>
      <c r="G258" s="86">
        <f>D258+E258+F258</f>
        <v/>
      </c>
      <c r="H258" s="102">
        <f>IF(G258&gt;0, D258/G258, 0)</f>
        <v/>
      </c>
      <c r="I258" s="103">
        <f>IF(G258&gt;0, (D258-E258)/G258, 0)</f>
        <v/>
      </c>
    </row>
    <row r="259" ht="18" customHeight="1" s="55">
      <c r="A259" s="85" t="inlineStr">
        <is>
          <t>DI841</t>
        </is>
      </c>
      <c r="B259" s="83" t="n">
        <v>23</v>
      </c>
      <c r="C259" s="85" t="inlineStr">
        <is>
          <t>04:24:40</t>
        </is>
      </c>
      <c r="D259" s="83" t="n">
        <v>2</v>
      </c>
      <c r="E259" s="83" t="n">
        <v>1</v>
      </c>
      <c r="F259" s="83" t="n">
        <v>0</v>
      </c>
      <c r="G259" s="83">
        <f>D259+E259+F259</f>
        <v/>
      </c>
      <c r="H259" s="100">
        <f>IF(G259&gt;0, D259/G259, 0)</f>
        <v/>
      </c>
      <c r="I259" s="101">
        <f>IF(G259&gt;0, (D259-E259)/G259, 0)</f>
        <v/>
      </c>
    </row>
    <row r="260" ht="18" customHeight="1" s="55">
      <c r="A260" s="88" t="inlineStr">
        <is>
          <t>DI841</t>
        </is>
      </c>
      <c r="B260" s="86" t="n">
        <v>24</v>
      </c>
      <c r="C260" s="88" t="inlineStr">
        <is>
          <t>04:26:00</t>
        </is>
      </c>
      <c r="D260" s="86" t="n">
        <v>0</v>
      </c>
      <c r="E260" s="86" t="n">
        <v>2</v>
      </c>
      <c r="F260" s="86" t="n">
        <v>0</v>
      </c>
      <c r="G260" s="86">
        <f>D260+E260+F260</f>
        <v/>
      </c>
      <c r="H260" s="102">
        <f>IF(G260&gt;0, D260/G260, 0)</f>
        <v/>
      </c>
      <c r="I260" s="103">
        <f>IF(G260&gt;0, (D260-E260)/G260, 0)</f>
        <v/>
      </c>
    </row>
    <row r="261" ht="18" customHeight="1" s="55">
      <c r="A261" s="85" t="inlineStr">
        <is>
          <t>DI841</t>
        </is>
      </c>
      <c r="B261" s="83" t="n">
        <v>25</v>
      </c>
      <c r="C261" s="85" t="inlineStr">
        <is>
          <t>04:26:50</t>
        </is>
      </c>
      <c r="D261" s="83" t="n">
        <v>2</v>
      </c>
      <c r="E261" s="83" t="n">
        <v>0</v>
      </c>
      <c r="F261" s="83" t="n">
        <v>0</v>
      </c>
      <c r="G261" s="83">
        <f>D261+E261+F261</f>
        <v/>
      </c>
      <c r="H261" s="100">
        <f>IF(G261&gt;0, D261/G261, 0)</f>
        <v/>
      </c>
      <c r="I261" s="101">
        <f>IF(G261&gt;0, (D261-E261)/G261, 0)</f>
        <v/>
      </c>
    </row>
    <row r="262" ht="18" customHeight="1" s="55">
      <c r="A262" s="88" t="inlineStr">
        <is>
          <t>DI841</t>
        </is>
      </c>
      <c r="B262" s="86" t="n">
        <v>26</v>
      </c>
      <c r="C262" s="88" t="inlineStr">
        <is>
          <t>04:27:16</t>
        </is>
      </c>
      <c r="D262" s="86" t="n">
        <v>2</v>
      </c>
      <c r="E262" s="86" t="n">
        <v>1</v>
      </c>
      <c r="F262" s="86" t="n">
        <v>0</v>
      </c>
      <c r="G262" s="86">
        <f>D262+E262+F262</f>
        <v/>
      </c>
      <c r="H262" s="102">
        <f>IF(G262&gt;0, D262/G262, 0)</f>
        <v/>
      </c>
      <c r="I262" s="103">
        <f>IF(G262&gt;0, (D262-E262)/G262, 0)</f>
        <v/>
      </c>
    </row>
    <row r="263" ht="18" customHeight="1" s="55">
      <c r="A263" s="85" t="inlineStr">
        <is>
          <t>DI841</t>
        </is>
      </c>
      <c r="B263" s="83" t="n">
        <v>27</v>
      </c>
      <c r="C263" s="85" t="inlineStr">
        <is>
          <t>04:27:33</t>
        </is>
      </c>
      <c r="D263" s="83" t="n">
        <v>3</v>
      </c>
      <c r="E263" s="83" t="n">
        <v>1</v>
      </c>
      <c r="F263" s="83" t="n">
        <v>0</v>
      </c>
      <c r="G263" s="83">
        <f>D263+E263+F263</f>
        <v/>
      </c>
      <c r="H263" s="100">
        <f>IF(G263&gt;0, D263/G263, 0)</f>
        <v/>
      </c>
      <c r="I263" s="101">
        <f>IF(G263&gt;0, (D263-E263)/G263, 0)</f>
        <v/>
      </c>
    </row>
    <row r="264" ht="18" customHeight="1" s="55">
      <c r="A264" s="88" t="inlineStr">
        <is>
          <t>DI841</t>
        </is>
      </c>
      <c r="B264" s="86" t="n">
        <v>28</v>
      </c>
      <c r="C264" s="88" t="inlineStr">
        <is>
          <t>04:28:42</t>
        </is>
      </c>
      <c r="D264" s="86" t="n">
        <v>0</v>
      </c>
      <c r="E264" s="86" t="n">
        <v>1</v>
      </c>
      <c r="F264" s="86" t="n">
        <v>0</v>
      </c>
      <c r="G264" s="86">
        <f>D264+E264+F264</f>
        <v/>
      </c>
      <c r="H264" s="102">
        <f>IF(G264&gt;0, D264/G264, 0)</f>
        <v/>
      </c>
      <c r="I264" s="103">
        <f>IF(G264&gt;0, (D264-E264)/G264, 0)</f>
        <v/>
      </c>
    </row>
    <row r="265" ht="18" customHeight="1" s="55">
      <c r="A265" s="85" t="inlineStr">
        <is>
          <t>DI841</t>
        </is>
      </c>
      <c r="B265" s="83" t="n">
        <v>29</v>
      </c>
      <c r="C265" s="85" t="inlineStr">
        <is>
          <t>04:29:00</t>
        </is>
      </c>
      <c r="D265" s="83" t="n">
        <v>2</v>
      </c>
      <c r="E265" s="83" t="n">
        <v>2</v>
      </c>
      <c r="F265" s="83" t="n">
        <v>0</v>
      </c>
      <c r="G265" s="83">
        <f>D265+E265+F265</f>
        <v/>
      </c>
      <c r="H265" s="100">
        <f>IF(G265&gt;0, D265/G265, 0)</f>
        <v/>
      </c>
      <c r="I265" s="101">
        <f>IF(G265&gt;0, (D265-E265)/G265, 0)</f>
        <v/>
      </c>
    </row>
    <row r="266" ht="18" customHeight="1" s="55">
      <c r="A266" s="88" t="inlineStr">
        <is>
          <t>DI845</t>
        </is>
      </c>
      <c r="B266" s="86" t="n">
        <v>1</v>
      </c>
      <c r="C266" s="88" t="inlineStr">
        <is>
          <t>09:58:02</t>
        </is>
      </c>
      <c r="D266" s="86" t="n">
        <v>1</v>
      </c>
      <c r="E266" s="86" t="n">
        <v>0</v>
      </c>
      <c r="F266" s="86" t="n">
        <v>0</v>
      </c>
      <c r="G266" s="86">
        <f>D266+E266+F266</f>
        <v/>
      </c>
      <c r="H266" s="102">
        <f>IF(G266&gt;0, D266/G266, 0)</f>
        <v/>
      </c>
      <c r="I266" s="103">
        <f>IF(G266&gt;0, (D266-E266)/G266, 0)</f>
        <v/>
      </c>
    </row>
    <row r="267" ht="18" customHeight="1" s="55">
      <c r="A267" s="85" t="inlineStr">
        <is>
          <t>DI845</t>
        </is>
      </c>
      <c r="B267" s="83" t="n">
        <v>2</v>
      </c>
      <c r="C267" s="85" t="inlineStr">
        <is>
          <t>09:58:11</t>
        </is>
      </c>
      <c r="D267" s="83" t="n">
        <v>0</v>
      </c>
      <c r="E267" s="83" t="n">
        <v>1</v>
      </c>
      <c r="F267" s="83" t="n">
        <v>0</v>
      </c>
      <c r="G267" s="83">
        <f>D267+E267+F267</f>
        <v/>
      </c>
      <c r="H267" s="100">
        <f>IF(G267&gt;0, D267/G267, 0)</f>
        <v/>
      </c>
      <c r="I267" s="101">
        <f>IF(G267&gt;0, (D267-E267)/G267, 0)</f>
        <v/>
      </c>
    </row>
    <row r="268" ht="18" customHeight="1" s="55">
      <c r="A268" s="88" t="inlineStr">
        <is>
          <t>DI845</t>
        </is>
      </c>
      <c r="B268" s="86" t="n">
        <v>3</v>
      </c>
      <c r="C268" s="88" t="inlineStr">
        <is>
          <t>09:58:14</t>
        </is>
      </c>
      <c r="D268" s="86" t="n">
        <v>1</v>
      </c>
      <c r="E268" s="86" t="n">
        <v>1</v>
      </c>
      <c r="F268" s="86" t="n">
        <v>0</v>
      </c>
      <c r="G268" s="86">
        <f>D268+E268+F268</f>
        <v/>
      </c>
      <c r="H268" s="102">
        <f>IF(G268&gt;0, D268/G268, 0)</f>
        <v/>
      </c>
      <c r="I268" s="103">
        <f>IF(G268&gt;0, (D268-E268)/G268, 0)</f>
        <v/>
      </c>
    </row>
    <row r="269" ht="18" customHeight="1" s="55">
      <c r="A269" s="85" t="inlineStr">
        <is>
          <t>DI845</t>
        </is>
      </c>
      <c r="B269" s="83" t="n">
        <v>4</v>
      </c>
      <c r="C269" s="85" t="inlineStr">
        <is>
          <t>09:58:17</t>
        </is>
      </c>
      <c r="D269" s="83" t="n">
        <v>1</v>
      </c>
      <c r="E269" s="83" t="n">
        <v>1</v>
      </c>
      <c r="F269" s="83" t="n">
        <v>0</v>
      </c>
      <c r="G269" s="83">
        <f>D269+E269+F269</f>
        <v/>
      </c>
      <c r="H269" s="100">
        <f>IF(G269&gt;0, D269/G269, 0)</f>
        <v/>
      </c>
      <c r="I269" s="101">
        <f>IF(G269&gt;0, (D269-E269)/G269, 0)</f>
        <v/>
      </c>
    </row>
    <row r="270" ht="18" customHeight="1" s="55">
      <c r="A270" s="88" t="inlineStr">
        <is>
          <t>DI845</t>
        </is>
      </c>
      <c r="B270" s="86" t="n">
        <v>5</v>
      </c>
      <c r="C270" s="88" t="inlineStr">
        <is>
          <t>09:58:45</t>
        </is>
      </c>
      <c r="D270" s="86" t="n">
        <v>5</v>
      </c>
      <c r="E270" s="86" t="n">
        <v>1</v>
      </c>
      <c r="F270" s="86" t="n">
        <v>0</v>
      </c>
      <c r="G270" s="86">
        <f>D270+E270+F270</f>
        <v/>
      </c>
      <c r="H270" s="102">
        <f>IF(G270&gt;0, D270/G270, 0)</f>
        <v/>
      </c>
      <c r="I270" s="103">
        <f>IF(G270&gt;0, (D270-E270)/G270, 0)</f>
        <v/>
      </c>
    </row>
    <row r="271" ht="18" customHeight="1" s="55">
      <c r="A271" s="85" t="inlineStr">
        <is>
          <t>DI845</t>
        </is>
      </c>
      <c r="B271" s="83" t="n">
        <v>6</v>
      </c>
      <c r="C271" s="85" t="inlineStr">
        <is>
          <t>09:58:46</t>
        </is>
      </c>
      <c r="D271" s="83" t="n">
        <v>5</v>
      </c>
      <c r="E271" s="83" t="n">
        <v>2</v>
      </c>
      <c r="F271" s="83" t="n">
        <v>0</v>
      </c>
      <c r="G271" s="83">
        <f>D271+E271+F271</f>
        <v/>
      </c>
      <c r="H271" s="100">
        <f>IF(G271&gt;0, D271/G271, 0)</f>
        <v/>
      </c>
      <c r="I271" s="101">
        <f>IF(G271&gt;0, (D271-E271)/G271, 0)</f>
        <v/>
      </c>
    </row>
    <row r="272" ht="18" customHeight="1" s="55">
      <c r="A272" s="88" t="inlineStr">
        <is>
          <t>DI845</t>
        </is>
      </c>
      <c r="B272" s="86" t="n">
        <v>7</v>
      </c>
      <c r="C272" s="88" t="inlineStr">
        <is>
          <t>09:58:48</t>
        </is>
      </c>
      <c r="D272" s="86" t="n">
        <v>5</v>
      </c>
      <c r="E272" s="86" t="n">
        <v>1</v>
      </c>
      <c r="F272" s="86" t="n">
        <v>1</v>
      </c>
      <c r="G272" s="86">
        <f>D272+E272+F272</f>
        <v/>
      </c>
      <c r="H272" s="102">
        <f>IF(G272&gt;0, D272/G272, 0)</f>
        <v/>
      </c>
      <c r="I272" s="103">
        <f>IF(G272&gt;0, (D272-E272)/G272, 0)</f>
        <v/>
      </c>
    </row>
    <row r="273" ht="18" customHeight="1" s="55">
      <c r="A273" s="85" t="inlineStr">
        <is>
          <t>DI845</t>
        </is>
      </c>
      <c r="B273" s="83" t="n">
        <v>8</v>
      </c>
      <c r="C273" s="85" t="inlineStr">
        <is>
          <t>09:59:28</t>
        </is>
      </c>
      <c r="D273" s="83" t="n">
        <v>2</v>
      </c>
      <c r="E273" s="83" t="n">
        <v>0</v>
      </c>
      <c r="F273" s="83" t="n">
        <v>0</v>
      </c>
      <c r="G273" s="83">
        <f>D273+E273+F273</f>
        <v/>
      </c>
      <c r="H273" s="100">
        <f>IF(G273&gt;0, D273/G273, 0)</f>
        <v/>
      </c>
      <c r="I273" s="101">
        <f>IF(G273&gt;0, (D273-E273)/G273, 0)</f>
        <v/>
      </c>
    </row>
    <row r="274" ht="18" customHeight="1" s="55">
      <c r="A274" s="88" t="inlineStr">
        <is>
          <t>DI845</t>
        </is>
      </c>
      <c r="B274" s="86" t="n">
        <v>9</v>
      </c>
      <c r="C274" s="88" t="inlineStr">
        <is>
          <t>09:59:37</t>
        </is>
      </c>
      <c r="D274" s="86" t="n">
        <v>1</v>
      </c>
      <c r="E274" s="86" t="n">
        <v>0</v>
      </c>
      <c r="F274" s="86" t="n">
        <v>0</v>
      </c>
      <c r="G274" s="86">
        <f>D274+E274+F274</f>
        <v/>
      </c>
      <c r="H274" s="102">
        <f>IF(G274&gt;0, D274/G274, 0)</f>
        <v/>
      </c>
      <c r="I274" s="103">
        <f>IF(G274&gt;0, (D274-E274)/G274, 0)</f>
        <v/>
      </c>
    </row>
    <row r="275" ht="18" customHeight="1" s="55">
      <c r="A275" s="85" t="inlineStr">
        <is>
          <t>DI845</t>
        </is>
      </c>
      <c r="B275" s="83" t="n">
        <v>10</v>
      </c>
      <c r="C275" s="85" t="inlineStr">
        <is>
          <t>09:59:46</t>
        </is>
      </c>
      <c r="D275" s="83" t="n">
        <v>3</v>
      </c>
      <c r="E275" s="83" t="n">
        <v>1</v>
      </c>
      <c r="F275" s="83" t="n">
        <v>0</v>
      </c>
      <c r="G275" s="83">
        <f>D275+E275+F275</f>
        <v/>
      </c>
      <c r="H275" s="100">
        <f>IF(G275&gt;0, D275/G275, 0)</f>
        <v/>
      </c>
      <c r="I275" s="101">
        <f>IF(G275&gt;0, (D275-E275)/G275, 0)</f>
        <v/>
      </c>
    </row>
    <row r="276" ht="18" customHeight="1" s="55">
      <c r="A276" s="88" t="inlineStr">
        <is>
          <t>DI845</t>
        </is>
      </c>
      <c r="B276" s="86" t="n">
        <v>11</v>
      </c>
      <c r="C276" s="88" t="inlineStr">
        <is>
          <t>10:00:12</t>
        </is>
      </c>
      <c r="D276" s="86" t="n">
        <v>3</v>
      </c>
      <c r="E276" s="86" t="n">
        <v>0</v>
      </c>
      <c r="F276" s="86" t="n">
        <v>0</v>
      </c>
      <c r="G276" s="86">
        <f>D276+E276+F276</f>
        <v/>
      </c>
      <c r="H276" s="102">
        <f>IF(G276&gt;0, D276/G276, 0)</f>
        <v/>
      </c>
      <c r="I276" s="103">
        <f>IF(G276&gt;0, (D276-E276)/G276, 0)</f>
        <v/>
      </c>
    </row>
    <row r="277" ht="18" customHeight="1" s="55">
      <c r="A277" s="85" t="inlineStr">
        <is>
          <t>DI845</t>
        </is>
      </c>
      <c r="B277" s="83" t="n">
        <v>12</v>
      </c>
      <c r="C277" s="85" t="inlineStr">
        <is>
          <t>10:00:46</t>
        </is>
      </c>
      <c r="D277" s="83" t="n">
        <v>1</v>
      </c>
      <c r="E277" s="83" t="n">
        <v>1</v>
      </c>
      <c r="F277" s="83" t="n">
        <v>2</v>
      </c>
      <c r="G277" s="83">
        <f>D277+E277+F277</f>
        <v/>
      </c>
      <c r="H277" s="100">
        <f>IF(G277&gt;0, D277/G277, 0)</f>
        <v/>
      </c>
      <c r="I277" s="101">
        <f>IF(G277&gt;0, (D277-E277)/G277, 0)</f>
        <v/>
      </c>
    </row>
    <row r="278" ht="18" customHeight="1" s="55">
      <c r="A278" s="88" t="inlineStr">
        <is>
          <t>DI845</t>
        </is>
      </c>
      <c r="B278" s="86" t="n">
        <v>13</v>
      </c>
      <c r="C278" s="88" t="inlineStr">
        <is>
          <t>10:03:04</t>
        </is>
      </c>
      <c r="D278" s="86" t="n">
        <v>1</v>
      </c>
      <c r="E278" s="86" t="n">
        <v>3</v>
      </c>
      <c r="F278" s="86" t="n">
        <v>2</v>
      </c>
      <c r="G278" s="86">
        <f>D278+E278+F278</f>
        <v/>
      </c>
      <c r="H278" s="102">
        <f>IF(G278&gt;0, D278/G278, 0)</f>
        <v/>
      </c>
      <c r="I278" s="103">
        <f>IF(G278&gt;0, (D278-E278)/G278, 0)</f>
        <v/>
      </c>
    </row>
    <row r="279" ht="18" customHeight="1" s="55">
      <c r="A279" s="85" t="inlineStr">
        <is>
          <t>DI845</t>
        </is>
      </c>
      <c r="B279" s="83" t="n">
        <v>14</v>
      </c>
      <c r="C279" s="85" t="inlineStr">
        <is>
          <t>10:04:31</t>
        </is>
      </c>
      <c r="D279" s="83" t="n">
        <v>6</v>
      </c>
      <c r="E279" s="83" t="n">
        <v>6</v>
      </c>
      <c r="F279" s="83" t="n">
        <v>0</v>
      </c>
      <c r="G279" s="83">
        <f>D279+E279+F279</f>
        <v/>
      </c>
      <c r="H279" s="100">
        <f>IF(G279&gt;0, D279/G279, 0)</f>
        <v/>
      </c>
      <c r="I279" s="101">
        <f>IF(G279&gt;0, (D279-E279)/G279, 0)</f>
        <v/>
      </c>
    </row>
    <row r="280" ht="18" customHeight="1" s="55">
      <c r="A280" s="88" t="inlineStr">
        <is>
          <t>DI845</t>
        </is>
      </c>
      <c r="B280" s="86" t="n">
        <v>15</v>
      </c>
      <c r="C280" s="88" t="inlineStr">
        <is>
          <t>10:04:32</t>
        </is>
      </c>
      <c r="D280" s="86" t="n">
        <v>4</v>
      </c>
      <c r="E280" s="86" t="n">
        <v>5</v>
      </c>
      <c r="F280" s="86" t="n">
        <v>2</v>
      </c>
      <c r="G280" s="86">
        <f>D280+E280+F280</f>
        <v/>
      </c>
      <c r="H280" s="102">
        <f>IF(G280&gt;0, D280/G280, 0)</f>
        <v/>
      </c>
      <c r="I280" s="103">
        <f>IF(G280&gt;0, (D280-E280)/G280, 0)</f>
        <v/>
      </c>
    </row>
    <row r="281" ht="18" customHeight="1" s="55">
      <c r="A281" s="85" t="inlineStr">
        <is>
          <t>DI845</t>
        </is>
      </c>
      <c r="B281" s="83" t="n">
        <v>16</v>
      </c>
      <c r="C281" s="85" t="inlineStr">
        <is>
          <t>10:04:38</t>
        </is>
      </c>
      <c r="D281" s="83" t="n">
        <v>4</v>
      </c>
      <c r="E281" s="83" t="n">
        <v>3</v>
      </c>
      <c r="F281" s="83" t="n">
        <v>0</v>
      </c>
      <c r="G281" s="83">
        <f>D281+E281+F281</f>
        <v/>
      </c>
      <c r="H281" s="100">
        <f>IF(G281&gt;0, D281/G281, 0)</f>
        <v/>
      </c>
      <c r="I281" s="101">
        <f>IF(G281&gt;0, (D281-E281)/G281, 0)</f>
        <v/>
      </c>
    </row>
    <row r="282" ht="18" customHeight="1" s="55">
      <c r="A282" s="88" t="inlineStr">
        <is>
          <t>DI845</t>
        </is>
      </c>
      <c r="B282" s="86" t="n">
        <v>17</v>
      </c>
      <c r="C282" s="88" t="inlineStr">
        <is>
          <t>10:04:39</t>
        </is>
      </c>
      <c r="D282" s="86" t="n">
        <v>3</v>
      </c>
      <c r="E282" s="86" t="n">
        <v>2</v>
      </c>
      <c r="F282" s="86" t="n">
        <v>1</v>
      </c>
      <c r="G282" s="86">
        <f>D282+E282+F282</f>
        <v/>
      </c>
      <c r="H282" s="102">
        <f>IF(G282&gt;0, D282/G282, 0)</f>
        <v/>
      </c>
      <c r="I282" s="103">
        <f>IF(G282&gt;0, (D282-E282)/G282, 0)</f>
        <v/>
      </c>
    </row>
    <row r="283" ht="18" customHeight="1" s="55">
      <c r="A283" s="85" t="inlineStr">
        <is>
          <t>DI845</t>
        </is>
      </c>
      <c r="B283" s="83" t="n">
        <v>18</v>
      </c>
      <c r="C283" s="85" t="inlineStr">
        <is>
          <t>10:04:48</t>
        </is>
      </c>
      <c r="D283" s="83" t="n">
        <v>1</v>
      </c>
      <c r="E283" s="83" t="n">
        <v>2</v>
      </c>
      <c r="F283" s="83" t="n">
        <v>0</v>
      </c>
      <c r="G283" s="83">
        <f>D283+E283+F283</f>
        <v/>
      </c>
      <c r="H283" s="100">
        <f>IF(G283&gt;0, D283/G283, 0)</f>
        <v/>
      </c>
      <c r="I283" s="101">
        <f>IF(G283&gt;0, (D283-E283)/G283, 0)</f>
        <v/>
      </c>
    </row>
    <row r="284" ht="18" customHeight="1" s="55">
      <c r="A284" s="88" t="inlineStr">
        <is>
          <t>DI845</t>
        </is>
      </c>
      <c r="B284" s="86" t="n">
        <v>19</v>
      </c>
      <c r="C284" s="88" t="inlineStr">
        <is>
          <t>10:05:40</t>
        </is>
      </c>
      <c r="D284" s="86" t="n">
        <v>6</v>
      </c>
      <c r="E284" s="86" t="n">
        <v>3</v>
      </c>
      <c r="F284" s="86" t="n">
        <v>1</v>
      </c>
      <c r="G284" s="86">
        <f>D284+E284+F284</f>
        <v/>
      </c>
      <c r="H284" s="102">
        <f>IF(G284&gt;0, D284/G284, 0)</f>
        <v/>
      </c>
      <c r="I284" s="103">
        <f>IF(G284&gt;0, (D284-E284)/G284, 0)</f>
        <v/>
      </c>
    </row>
    <row r="285" ht="18" customHeight="1" s="55">
      <c r="A285" s="85" t="inlineStr">
        <is>
          <t>DI845</t>
        </is>
      </c>
      <c r="B285" s="83" t="n">
        <v>20</v>
      </c>
      <c r="C285" s="85" t="inlineStr">
        <is>
          <t>10:05:48</t>
        </is>
      </c>
      <c r="D285" s="83" t="n">
        <v>6</v>
      </c>
      <c r="E285" s="83" t="n">
        <v>2</v>
      </c>
      <c r="F285" s="83" t="n">
        <v>2</v>
      </c>
      <c r="G285" s="83">
        <f>D285+E285+F285</f>
        <v/>
      </c>
      <c r="H285" s="100">
        <f>IF(G285&gt;0, D285/G285, 0)</f>
        <v/>
      </c>
      <c r="I285" s="101">
        <f>IF(G285&gt;0, (D285-E285)/G285, 0)</f>
        <v/>
      </c>
    </row>
    <row r="286" ht="18" customHeight="1" s="55">
      <c r="A286" s="88" t="inlineStr">
        <is>
          <t>DI845</t>
        </is>
      </c>
      <c r="B286" s="86" t="n">
        <v>21</v>
      </c>
      <c r="C286" s="88" t="inlineStr">
        <is>
          <t>10:06:32</t>
        </is>
      </c>
      <c r="D286" s="86" t="n">
        <v>6</v>
      </c>
      <c r="E286" s="86" t="n">
        <v>4</v>
      </c>
      <c r="F286" s="86" t="n">
        <v>4</v>
      </c>
      <c r="G286" s="86">
        <f>D286+E286+F286</f>
        <v/>
      </c>
      <c r="H286" s="102">
        <f>IF(G286&gt;0, D286/G286, 0)</f>
        <v/>
      </c>
      <c r="I286" s="103">
        <f>IF(G286&gt;0, (D286-E286)/G286, 0)</f>
        <v/>
      </c>
    </row>
    <row r="287" ht="18" customHeight="1" s="55">
      <c r="A287" s="85" t="inlineStr">
        <is>
          <t>DI845</t>
        </is>
      </c>
      <c r="B287" s="83" t="n">
        <v>22</v>
      </c>
      <c r="C287" s="85" t="inlineStr">
        <is>
          <t>10:06:40</t>
        </is>
      </c>
      <c r="D287" s="83" t="n">
        <v>8</v>
      </c>
      <c r="E287" s="83" t="n">
        <v>5</v>
      </c>
      <c r="F287" s="83" t="n">
        <v>4</v>
      </c>
      <c r="G287" s="83">
        <f>D287+E287+F287</f>
        <v/>
      </c>
      <c r="H287" s="100">
        <f>IF(G287&gt;0, D287/G287, 0)</f>
        <v/>
      </c>
      <c r="I287" s="101">
        <f>IF(G287&gt;0, (D287-E287)/G287, 0)</f>
        <v/>
      </c>
    </row>
    <row r="288" ht="18" customHeight="1" s="55">
      <c r="A288" s="88" t="inlineStr">
        <is>
          <t>DI845</t>
        </is>
      </c>
      <c r="B288" s="86" t="n">
        <v>23</v>
      </c>
      <c r="C288" s="88" t="inlineStr">
        <is>
          <t>10:06:49</t>
        </is>
      </c>
      <c r="D288" s="86" t="n">
        <v>9</v>
      </c>
      <c r="E288" s="86" t="n">
        <v>3</v>
      </c>
      <c r="F288" s="86" t="n">
        <v>4</v>
      </c>
      <c r="G288" s="86">
        <f>D288+E288+F288</f>
        <v/>
      </c>
      <c r="H288" s="102">
        <f>IF(G288&gt;0, D288/G288, 0)</f>
        <v/>
      </c>
      <c r="I288" s="103">
        <f>IF(G288&gt;0, (D288-E288)/G288, 0)</f>
        <v/>
      </c>
    </row>
    <row r="289" ht="18" customHeight="1" s="55">
      <c r="A289" s="85" t="inlineStr">
        <is>
          <t>DI845</t>
        </is>
      </c>
      <c r="B289" s="83" t="n">
        <v>24</v>
      </c>
      <c r="C289" s="85" t="inlineStr">
        <is>
          <t>10:07:06</t>
        </is>
      </c>
      <c r="D289" s="83" t="n">
        <v>10</v>
      </c>
      <c r="E289" s="83" t="n">
        <v>4</v>
      </c>
      <c r="F289" s="83" t="n">
        <v>5</v>
      </c>
      <c r="G289" s="83">
        <f>D289+E289+F289</f>
        <v/>
      </c>
      <c r="H289" s="100">
        <f>IF(G289&gt;0, D289/G289, 0)</f>
        <v/>
      </c>
      <c r="I289" s="101">
        <f>IF(G289&gt;0, (D289-E289)/G289, 0)</f>
        <v/>
      </c>
    </row>
    <row r="290" ht="18" customHeight="1" s="55">
      <c r="A290" s="88" t="inlineStr">
        <is>
          <t>DI845</t>
        </is>
      </c>
      <c r="B290" s="86" t="n">
        <v>25</v>
      </c>
      <c r="C290" s="88" t="inlineStr">
        <is>
          <t>10:07:58</t>
        </is>
      </c>
      <c r="D290" s="86" t="n">
        <v>4</v>
      </c>
      <c r="E290" s="86" t="n">
        <v>3</v>
      </c>
      <c r="F290" s="86" t="n">
        <v>3</v>
      </c>
      <c r="G290" s="86">
        <f>D290+E290+F290</f>
        <v/>
      </c>
      <c r="H290" s="102">
        <f>IF(G290&gt;0, D290/G290, 0)</f>
        <v/>
      </c>
      <c r="I290" s="103">
        <f>IF(G290&gt;0, (D290-E290)/G290, 0)</f>
        <v/>
      </c>
    </row>
    <row r="291" ht="18" customHeight="1" s="55">
      <c r="A291" s="85" t="inlineStr">
        <is>
          <t>DI845</t>
        </is>
      </c>
      <c r="B291" s="83" t="n">
        <v>26</v>
      </c>
      <c r="C291" s="85" t="inlineStr">
        <is>
          <t>10:08:41</t>
        </is>
      </c>
      <c r="D291" s="83" t="n">
        <v>4</v>
      </c>
      <c r="E291" s="83" t="n">
        <v>0</v>
      </c>
      <c r="F291" s="83" t="n">
        <v>0</v>
      </c>
      <c r="G291" s="83">
        <f>D291+E291+F291</f>
        <v/>
      </c>
      <c r="H291" s="100">
        <f>IF(G291&gt;0, D291/G291, 0)</f>
        <v/>
      </c>
      <c r="I291" s="101">
        <f>IF(G291&gt;0, (D291-E291)/G291, 0)</f>
        <v/>
      </c>
    </row>
    <row r="292" ht="18" customHeight="1" s="55">
      <c r="A292" s="88" t="inlineStr">
        <is>
          <t>DI845</t>
        </is>
      </c>
      <c r="B292" s="86" t="n">
        <v>27</v>
      </c>
      <c r="C292" s="88" t="inlineStr">
        <is>
          <t>10:10:08</t>
        </is>
      </c>
      <c r="D292" s="86" t="n">
        <v>0</v>
      </c>
      <c r="E292" s="86" t="n">
        <v>0</v>
      </c>
      <c r="F292" s="86" t="n">
        <v>1</v>
      </c>
      <c r="G292" s="86">
        <f>D292+E292+F292</f>
        <v/>
      </c>
      <c r="H292" s="102">
        <f>IF(G292&gt;0, D292/G292, 0)</f>
        <v/>
      </c>
      <c r="I292" s="103">
        <f>IF(G292&gt;0, (D292-E292)/G292, 0)</f>
        <v/>
      </c>
    </row>
    <row r="293" ht="18" customHeight="1" s="55">
      <c r="A293" s="85" t="inlineStr">
        <is>
          <t>DI845</t>
        </is>
      </c>
      <c r="B293" s="83" t="n">
        <v>28</v>
      </c>
      <c r="C293" s="85" t="inlineStr">
        <is>
          <t>10:10:16</t>
        </is>
      </c>
      <c r="D293" s="83" t="n">
        <v>2</v>
      </c>
      <c r="E293" s="83" t="n">
        <v>1</v>
      </c>
      <c r="F293" s="83" t="n">
        <v>0</v>
      </c>
      <c r="G293" s="83">
        <f>D293+E293+F293</f>
        <v/>
      </c>
      <c r="H293" s="100">
        <f>IF(G293&gt;0, D293/G293, 0)</f>
        <v/>
      </c>
      <c r="I293" s="101">
        <f>IF(G293&gt;0, (D293-E293)/G293, 0)</f>
        <v/>
      </c>
    </row>
    <row r="294" ht="18" customHeight="1" s="55">
      <c r="A294" s="88" t="inlineStr">
        <is>
          <t>DI845</t>
        </is>
      </c>
      <c r="B294" s="86" t="n">
        <v>29</v>
      </c>
      <c r="C294" s="88" t="inlineStr">
        <is>
          <t>10:10:25</t>
        </is>
      </c>
      <c r="D294" s="86" t="n">
        <v>5</v>
      </c>
      <c r="E294" s="86" t="n">
        <v>1</v>
      </c>
      <c r="F294" s="86" t="n">
        <v>0</v>
      </c>
      <c r="G294" s="86">
        <f>D294+E294+F294</f>
        <v/>
      </c>
      <c r="H294" s="102">
        <f>IF(G294&gt;0, D294/G294, 0)</f>
        <v/>
      </c>
      <c r="I294" s="103">
        <f>IF(G294&gt;0, (D294-E294)/G294, 0)</f>
        <v/>
      </c>
    </row>
    <row r="295" ht="18" customHeight="1" s="55">
      <c r="A295" s="85" t="inlineStr">
        <is>
          <t>DI846</t>
        </is>
      </c>
      <c r="B295" s="83" t="n">
        <v>1</v>
      </c>
      <c r="C295" s="85" t="inlineStr">
        <is>
          <t>02:32:30</t>
        </is>
      </c>
      <c r="D295" s="83" t="n">
        <v>1</v>
      </c>
      <c r="E295" s="83" t="n">
        <v>1</v>
      </c>
      <c r="F295" s="83" t="n">
        <v>0</v>
      </c>
      <c r="G295" s="83">
        <f>D295+E295+F295</f>
        <v/>
      </c>
      <c r="H295" s="100">
        <f>IF(G295&gt;0, D295/G295, 0)</f>
        <v/>
      </c>
      <c r="I295" s="101">
        <f>IF(G295&gt;0, (D295-E295)/G295, 0)</f>
        <v/>
      </c>
    </row>
    <row r="296" ht="18" customHeight="1" s="55">
      <c r="A296" s="88" t="inlineStr">
        <is>
          <t>DI846</t>
        </is>
      </c>
      <c r="B296" s="86" t="n">
        <v>2</v>
      </c>
      <c r="C296" s="88" t="inlineStr">
        <is>
          <t>02:32:47</t>
        </is>
      </c>
      <c r="D296" s="86" t="n">
        <v>1</v>
      </c>
      <c r="E296" s="86" t="n">
        <v>1</v>
      </c>
      <c r="F296" s="86" t="n">
        <v>0</v>
      </c>
      <c r="G296" s="86">
        <f>D296+E296+F296</f>
        <v/>
      </c>
      <c r="H296" s="102">
        <f>IF(G296&gt;0, D296/G296, 0)</f>
        <v/>
      </c>
      <c r="I296" s="103">
        <f>IF(G296&gt;0, (D296-E296)/G296, 0)</f>
        <v/>
      </c>
    </row>
    <row r="297" ht="18" customHeight="1" s="55">
      <c r="A297" s="85" t="inlineStr">
        <is>
          <t>DI846</t>
        </is>
      </c>
      <c r="B297" s="83" t="n">
        <v>3</v>
      </c>
      <c r="C297" s="85" t="inlineStr">
        <is>
          <t>02:33:22</t>
        </is>
      </c>
      <c r="D297" s="83" t="n">
        <v>2</v>
      </c>
      <c r="E297" s="83" t="n">
        <v>0</v>
      </c>
      <c r="F297" s="83" t="n">
        <v>0</v>
      </c>
      <c r="G297" s="83">
        <f>D297+E297+F297</f>
        <v/>
      </c>
      <c r="H297" s="100">
        <f>IF(G297&gt;0, D297/G297, 0)</f>
        <v/>
      </c>
      <c r="I297" s="101">
        <f>IF(G297&gt;0, (D297-E297)/G297, 0)</f>
        <v/>
      </c>
    </row>
    <row r="298" ht="18" customHeight="1" s="55">
      <c r="A298" s="88" t="inlineStr">
        <is>
          <t>DI846</t>
        </is>
      </c>
      <c r="B298" s="86" t="n">
        <v>4</v>
      </c>
      <c r="C298" s="88" t="inlineStr">
        <is>
          <t>02:33:31</t>
        </is>
      </c>
      <c r="D298" s="86" t="n">
        <v>7</v>
      </c>
      <c r="E298" s="86" t="n">
        <v>0</v>
      </c>
      <c r="F298" s="86" t="n">
        <v>0</v>
      </c>
      <c r="G298" s="86">
        <f>D298+E298+F298</f>
        <v/>
      </c>
      <c r="H298" s="102">
        <f>IF(G298&gt;0, D298/G298, 0)</f>
        <v/>
      </c>
      <c r="I298" s="103">
        <f>IF(G298&gt;0, (D298-E298)/G298, 0)</f>
        <v/>
      </c>
    </row>
    <row r="299" ht="18" customHeight="1" s="55">
      <c r="A299" s="85" t="inlineStr">
        <is>
          <t>DI846</t>
        </is>
      </c>
      <c r="B299" s="83" t="n">
        <v>5</v>
      </c>
      <c r="C299" s="85" t="inlineStr">
        <is>
          <t>02:36:40</t>
        </is>
      </c>
      <c r="D299" s="83" t="n">
        <v>3</v>
      </c>
      <c r="E299" s="83" t="n">
        <v>3</v>
      </c>
      <c r="F299" s="83" t="n">
        <v>2</v>
      </c>
      <c r="G299" s="83">
        <f>D299+E299+F299</f>
        <v/>
      </c>
      <c r="H299" s="100">
        <f>IF(G299&gt;0, D299/G299, 0)</f>
        <v/>
      </c>
      <c r="I299" s="101">
        <f>IF(G299&gt;0, (D299-E299)/G299, 0)</f>
        <v/>
      </c>
    </row>
    <row r="300" ht="18" customHeight="1" s="55">
      <c r="A300" s="88" t="inlineStr">
        <is>
          <t>DI846</t>
        </is>
      </c>
      <c r="B300" s="86" t="n">
        <v>6</v>
      </c>
      <c r="C300" s="88" t="inlineStr">
        <is>
          <t>02:37:49</t>
        </is>
      </c>
      <c r="D300" s="86" t="n">
        <v>9</v>
      </c>
      <c r="E300" s="86" t="n">
        <v>3</v>
      </c>
      <c r="F300" s="86" t="n">
        <v>1</v>
      </c>
      <c r="G300" s="86">
        <f>D300+E300+F300</f>
        <v/>
      </c>
      <c r="H300" s="102">
        <f>IF(G300&gt;0, D300/G300, 0)</f>
        <v/>
      </c>
      <c r="I300" s="103">
        <f>IF(G300&gt;0, (D300-E300)/G300, 0)</f>
        <v/>
      </c>
    </row>
    <row r="301" ht="18" customHeight="1" s="55">
      <c r="A301" s="85" t="inlineStr">
        <is>
          <t>DI846</t>
        </is>
      </c>
      <c r="B301" s="83" t="n">
        <v>7</v>
      </c>
      <c r="C301" s="85" t="inlineStr">
        <is>
          <t>02:38:15</t>
        </is>
      </c>
      <c r="D301" s="83" t="n">
        <v>6</v>
      </c>
      <c r="E301" s="83" t="n">
        <v>2</v>
      </c>
      <c r="F301" s="83" t="n">
        <v>0</v>
      </c>
      <c r="G301" s="83">
        <f>D301+E301+F301</f>
        <v/>
      </c>
      <c r="H301" s="100">
        <f>IF(G301&gt;0, D301/G301, 0)</f>
        <v/>
      </c>
      <c r="I301" s="101">
        <f>IF(G301&gt;0, (D301-E301)/G301, 0)</f>
        <v/>
      </c>
    </row>
    <row r="302" ht="18" customHeight="1" s="55">
      <c r="A302" s="88" t="inlineStr">
        <is>
          <t>DI846</t>
        </is>
      </c>
      <c r="B302" s="86" t="n">
        <v>8</v>
      </c>
      <c r="C302" s="88" t="inlineStr">
        <is>
          <t>02:39:50</t>
        </is>
      </c>
      <c r="D302" s="86" t="n">
        <v>1</v>
      </c>
      <c r="E302" s="86" t="n">
        <v>1</v>
      </c>
      <c r="F302" s="86" t="n">
        <v>0</v>
      </c>
      <c r="G302" s="86">
        <f>D302+E302+F302</f>
        <v/>
      </c>
      <c r="H302" s="102">
        <f>IF(G302&gt;0, D302/G302, 0)</f>
        <v/>
      </c>
      <c r="I302" s="103">
        <f>IF(G302&gt;0, (D302-E302)/G302, 0)</f>
        <v/>
      </c>
    </row>
    <row r="303" ht="18" customHeight="1" s="55">
      <c r="A303" s="85" t="inlineStr">
        <is>
          <t>DI846</t>
        </is>
      </c>
      <c r="B303" s="83" t="n">
        <v>9</v>
      </c>
      <c r="C303" s="85" t="inlineStr">
        <is>
          <t>02:40:34</t>
        </is>
      </c>
      <c r="D303" s="83" t="n">
        <v>5</v>
      </c>
      <c r="E303" s="83" t="n">
        <v>2</v>
      </c>
      <c r="F303" s="83" t="n">
        <v>0</v>
      </c>
      <c r="G303" s="83">
        <f>D303+E303+F303</f>
        <v/>
      </c>
      <c r="H303" s="100">
        <f>IF(G303&gt;0, D303/G303, 0)</f>
        <v/>
      </c>
      <c r="I303" s="101">
        <f>IF(G303&gt;0, (D303-E303)/G303, 0)</f>
        <v/>
      </c>
    </row>
    <row r="304" ht="18" customHeight="1" s="55">
      <c r="A304" s="88" t="inlineStr">
        <is>
          <t>DI846</t>
        </is>
      </c>
      <c r="B304" s="86" t="n">
        <v>10</v>
      </c>
      <c r="C304" s="88" t="inlineStr">
        <is>
          <t>02:41:08</t>
        </is>
      </c>
      <c r="D304" s="86" t="n">
        <v>1</v>
      </c>
      <c r="E304" s="86" t="n">
        <v>1</v>
      </c>
      <c r="F304" s="86" t="n">
        <v>0</v>
      </c>
      <c r="G304" s="86">
        <f>D304+E304+F304</f>
        <v/>
      </c>
      <c r="H304" s="102">
        <f>IF(G304&gt;0, D304/G304, 0)</f>
        <v/>
      </c>
      <c r="I304" s="103">
        <f>IF(G304&gt;0, (D304-E304)/G304, 0)</f>
        <v/>
      </c>
    </row>
    <row r="305" ht="18" customHeight="1" s="55">
      <c r="A305" s="85" t="inlineStr">
        <is>
          <t>DI846</t>
        </is>
      </c>
      <c r="B305" s="83" t="n">
        <v>11</v>
      </c>
      <c r="C305" s="85" t="inlineStr">
        <is>
          <t>02:41:17</t>
        </is>
      </c>
      <c r="D305" s="83" t="n">
        <v>3</v>
      </c>
      <c r="E305" s="83" t="n">
        <v>0</v>
      </c>
      <c r="F305" s="83" t="n">
        <v>2</v>
      </c>
      <c r="G305" s="83">
        <f>D305+E305+F305</f>
        <v/>
      </c>
      <c r="H305" s="100">
        <f>IF(G305&gt;0, D305/G305, 0)</f>
        <v/>
      </c>
      <c r="I305" s="101">
        <f>IF(G305&gt;0, (D305-E305)/G305, 0)</f>
        <v/>
      </c>
    </row>
    <row r="306" ht="18" customHeight="1" s="55">
      <c r="A306" s="88" t="inlineStr">
        <is>
          <t>DI846</t>
        </is>
      </c>
      <c r="B306" s="86" t="n">
        <v>12</v>
      </c>
      <c r="C306" s="88" t="inlineStr">
        <is>
          <t>02:42:26</t>
        </is>
      </c>
      <c r="D306" s="86" t="n">
        <v>2</v>
      </c>
      <c r="E306" s="86" t="n">
        <v>5</v>
      </c>
      <c r="F306" s="86" t="n">
        <v>0</v>
      </c>
      <c r="G306" s="86">
        <f>D306+E306+F306</f>
        <v/>
      </c>
      <c r="H306" s="102">
        <f>IF(G306&gt;0, D306/G306, 0)</f>
        <v/>
      </c>
      <c r="I306" s="103">
        <f>IF(G306&gt;0, (D306-E306)/G306, 0)</f>
        <v/>
      </c>
    </row>
    <row r="307" ht="18" customHeight="1" s="55">
      <c r="A307" s="85" t="inlineStr">
        <is>
          <t>DI846</t>
        </is>
      </c>
      <c r="B307" s="83" t="n">
        <v>13</v>
      </c>
      <c r="C307" s="85" t="inlineStr">
        <is>
          <t>02:44:01</t>
        </is>
      </c>
      <c r="D307" s="83" t="n">
        <v>0</v>
      </c>
      <c r="E307" s="83" t="n">
        <v>0</v>
      </c>
      <c r="F307" s="83" t="n">
        <v>0</v>
      </c>
      <c r="G307" s="83">
        <f>D307+E307+F307</f>
        <v/>
      </c>
      <c r="H307" s="100">
        <f>IF(G307&gt;0, D307/G307, 0)</f>
        <v/>
      </c>
      <c r="I307" s="101">
        <f>IF(G307&gt;0, (D307-E307)/G307, 0)</f>
        <v/>
      </c>
    </row>
    <row r="308" ht="18" customHeight="1" s="55">
      <c r="A308" s="88" t="inlineStr">
        <is>
          <t>DI846</t>
        </is>
      </c>
      <c r="B308" s="86" t="n">
        <v>14</v>
      </c>
      <c r="C308" s="88" t="inlineStr">
        <is>
          <t>02:44:06</t>
        </is>
      </c>
      <c r="D308" s="86" t="n">
        <v>1</v>
      </c>
      <c r="E308" s="86" t="n">
        <v>1</v>
      </c>
      <c r="F308" s="86" t="n">
        <v>1</v>
      </c>
      <c r="G308" s="86">
        <f>D308+E308+F308</f>
        <v/>
      </c>
      <c r="H308" s="102">
        <f>IF(G308&gt;0, D308/G308, 0)</f>
        <v/>
      </c>
      <c r="I308" s="103">
        <f>IF(G308&gt;0, (D308-E308)/G308, 0)</f>
        <v/>
      </c>
    </row>
    <row r="309" ht="18" customHeight="1" s="55">
      <c r="A309" s="85" t="inlineStr">
        <is>
          <t>DI846</t>
        </is>
      </c>
      <c r="B309" s="83" t="n">
        <v>15</v>
      </c>
      <c r="C309" s="85" t="inlineStr">
        <is>
          <t>02:44:18</t>
        </is>
      </c>
      <c r="D309" s="83" t="n">
        <v>1</v>
      </c>
      <c r="E309" s="83" t="n">
        <v>0</v>
      </c>
      <c r="F309" s="83" t="n">
        <v>3</v>
      </c>
      <c r="G309" s="83">
        <f>D309+E309+F309</f>
        <v/>
      </c>
      <c r="H309" s="100">
        <f>IF(G309&gt;0, D309/G309, 0)</f>
        <v/>
      </c>
      <c r="I309" s="101">
        <f>IF(G309&gt;0, (D309-E309)/G309, 0)</f>
        <v/>
      </c>
    </row>
    <row r="310" ht="18" customHeight="1" s="55">
      <c r="A310" s="88" t="inlineStr">
        <is>
          <t>DI846</t>
        </is>
      </c>
      <c r="B310" s="86" t="n">
        <v>16</v>
      </c>
      <c r="C310" s="88" t="inlineStr">
        <is>
          <t>02:44:36</t>
        </is>
      </c>
      <c r="D310" s="86" t="n">
        <v>7</v>
      </c>
      <c r="E310" s="86" t="n">
        <v>0</v>
      </c>
      <c r="F310" s="86" t="n">
        <v>0</v>
      </c>
      <c r="G310" s="86">
        <f>D310+E310+F310</f>
        <v/>
      </c>
      <c r="H310" s="102">
        <f>IF(G310&gt;0, D310/G310, 0)</f>
        <v/>
      </c>
      <c r="I310" s="103">
        <f>IF(G310&gt;0, (D310-E310)/G310, 0)</f>
        <v/>
      </c>
    </row>
    <row r="311" ht="18" customHeight="1" s="55">
      <c r="A311" s="85" t="inlineStr">
        <is>
          <t>DI846</t>
        </is>
      </c>
      <c r="B311" s="83" t="n">
        <v>17</v>
      </c>
      <c r="C311" s="85" t="inlineStr">
        <is>
          <t>02:47:02</t>
        </is>
      </c>
      <c r="D311" s="83" t="n">
        <v>4</v>
      </c>
      <c r="E311" s="83" t="n">
        <v>3</v>
      </c>
      <c r="F311" s="83" t="n">
        <v>0</v>
      </c>
      <c r="G311" s="83">
        <f>D311+E311+F311</f>
        <v/>
      </c>
      <c r="H311" s="100">
        <f>IF(G311&gt;0, D311/G311, 0)</f>
        <v/>
      </c>
      <c r="I311" s="101">
        <f>IF(G311&gt;0, (D311-E311)/G311, 0)</f>
        <v/>
      </c>
    </row>
    <row r="312" ht="18" customHeight="1" s="55">
      <c r="A312" s="88" t="inlineStr">
        <is>
          <t>DI846</t>
        </is>
      </c>
      <c r="B312" s="86" t="n">
        <v>18</v>
      </c>
      <c r="C312" s="88" t="inlineStr">
        <is>
          <t>02:47:46</t>
        </is>
      </c>
      <c r="D312" s="86" t="n">
        <v>5</v>
      </c>
      <c r="E312" s="86" t="n">
        <v>1</v>
      </c>
      <c r="F312" s="86" t="n">
        <v>0</v>
      </c>
      <c r="G312" s="86">
        <f>D312+E312+F312</f>
        <v/>
      </c>
      <c r="H312" s="102">
        <f>IF(G312&gt;0, D312/G312, 0)</f>
        <v/>
      </c>
      <c r="I312" s="103">
        <f>IF(G312&gt;0, (D312-E312)/G312, 0)</f>
        <v/>
      </c>
    </row>
    <row r="313" ht="18" customHeight="1" s="55">
      <c r="A313" s="85" t="inlineStr">
        <is>
          <t>DI846</t>
        </is>
      </c>
      <c r="B313" s="83" t="n">
        <v>19</v>
      </c>
      <c r="C313" s="85" t="inlineStr">
        <is>
          <t>02:49:03</t>
        </is>
      </c>
      <c r="D313" s="83" t="n">
        <v>0</v>
      </c>
      <c r="E313" s="83" t="n">
        <v>0</v>
      </c>
      <c r="F313" s="83" t="n">
        <v>0</v>
      </c>
      <c r="G313" s="83">
        <f>D313+E313+F313</f>
        <v/>
      </c>
      <c r="H313" s="100">
        <f>IF(G313&gt;0, D313/G313, 0)</f>
        <v/>
      </c>
      <c r="I313" s="101">
        <f>IF(G313&gt;0, (D313-E313)/G313, 0)</f>
        <v/>
      </c>
    </row>
    <row r="314" ht="18" customHeight="1" s="55">
      <c r="A314" s="88" t="inlineStr">
        <is>
          <t>DI846</t>
        </is>
      </c>
      <c r="B314" s="86" t="n">
        <v>20</v>
      </c>
      <c r="C314" s="88" t="inlineStr">
        <is>
          <t>02:49:21</t>
        </is>
      </c>
      <c r="D314" s="86" t="n">
        <v>0</v>
      </c>
      <c r="E314" s="86" t="n">
        <v>1</v>
      </c>
      <c r="F314" s="86" t="n">
        <v>0</v>
      </c>
      <c r="G314" s="86">
        <f>D314+E314+F314</f>
        <v/>
      </c>
      <c r="H314" s="102">
        <f>IF(G314&gt;0, D314/G314, 0)</f>
        <v/>
      </c>
      <c r="I314" s="103">
        <f>IF(G314&gt;0, (D314-E314)/G314, 0)</f>
        <v/>
      </c>
    </row>
    <row r="315" ht="18" customHeight="1" s="55">
      <c r="A315" s="85" t="inlineStr">
        <is>
          <t>DI846</t>
        </is>
      </c>
      <c r="B315" s="83" t="n">
        <v>21</v>
      </c>
      <c r="C315" s="85" t="inlineStr">
        <is>
          <t>02:50:12</t>
        </is>
      </c>
      <c r="D315" s="83" t="n">
        <v>1</v>
      </c>
      <c r="E315" s="83" t="n">
        <v>1</v>
      </c>
      <c r="F315" s="83" t="n">
        <v>0</v>
      </c>
      <c r="G315" s="83">
        <f>D315+E315+F315</f>
        <v/>
      </c>
      <c r="H315" s="100">
        <f>IF(G315&gt;0, D315/G315, 0)</f>
        <v/>
      </c>
      <c r="I315" s="101">
        <f>IF(G315&gt;0, (D315-E315)/G315, 0)</f>
        <v/>
      </c>
    </row>
    <row r="316" ht="18" customHeight="1" s="55">
      <c r="A316" s="88" t="inlineStr">
        <is>
          <t>DI846</t>
        </is>
      </c>
      <c r="B316" s="86" t="n">
        <v>22</v>
      </c>
      <c r="C316" s="88" t="inlineStr">
        <is>
          <t>02:50:47</t>
        </is>
      </c>
      <c r="D316" s="86" t="n">
        <v>0</v>
      </c>
      <c r="E316" s="86" t="n">
        <v>2</v>
      </c>
      <c r="F316" s="86" t="n">
        <v>0</v>
      </c>
      <c r="G316" s="86">
        <f>D316+E316+F316</f>
        <v/>
      </c>
      <c r="H316" s="102">
        <f>IF(G316&gt;0, D316/G316, 0)</f>
        <v/>
      </c>
      <c r="I316" s="103">
        <f>IF(G316&gt;0, (D316-E316)/G316, 0)</f>
        <v/>
      </c>
    </row>
    <row r="317" ht="18" customHeight="1" s="55">
      <c r="A317" s="85" t="inlineStr">
        <is>
          <t>DI846</t>
        </is>
      </c>
      <c r="B317" s="83" t="n">
        <v>23</v>
      </c>
      <c r="C317" s="85" t="inlineStr">
        <is>
          <t>02:50:56</t>
        </is>
      </c>
      <c r="D317" s="83" t="n">
        <v>0</v>
      </c>
      <c r="E317" s="83" t="n">
        <v>0</v>
      </c>
      <c r="F317" s="83" t="n">
        <v>0</v>
      </c>
      <c r="G317" s="83">
        <f>D317+E317+F317</f>
        <v/>
      </c>
      <c r="H317" s="100">
        <f>IF(G317&gt;0, D317/G317, 0)</f>
        <v/>
      </c>
      <c r="I317" s="101">
        <f>IF(G317&gt;0, (D317-E317)/G317, 0)</f>
        <v/>
      </c>
    </row>
    <row r="318" ht="18" customHeight="1" s="55">
      <c r="A318" s="88" t="inlineStr">
        <is>
          <t>DI846</t>
        </is>
      </c>
      <c r="B318" s="86" t="n">
        <v>24</v>
      </c>
      <c r="C318" s="88" t="inlineStr">
        <is>
          <t>02:51:56</t>
        </is>
      </c>
      <c r="D318" s="86" t="n">
        <v>1</v>
      </c>
      <c r="E318" s="86" t="n">
        <v>0</v>
      </c>
      <c r="F318" s="86" t="n">
        <v>0</v>
      </c>
      <c r="G318" s="86">
        <f>D318+E318+F318</f>
        <v/>
      </c>
      <c r="H318" s="102">
        <f>IF(G318&gt;0, D318/G318, 0)</f>
        <v/>
      </c>
      <c r="I318" s="103">
        <f>IF(G318&gt;0, (D318-E318)/G318, 0)</f>
        <v/>
      </c>
    </row>
    <row r="319" ht="18" customHeight="1" s="55">
      <c r="A319" s="85" t="inlineStr">
        <is>
          <t>DI846</t>
        </is>
      </c>
      <c r="B319" s="83" t="n">
        <v>25</v>
      </c>
      <c r="C319" s="85" t="inlineStr">
        <is>
          <t>02:52:31</t>
        </is>
      </c>
      <c r="D319" s="83" t="n">
        <v>0</v>
      </c>
      <c r="E319" s="83" t="n">
        <v>1</v>
      </c>
      <c r="F319" s="83" t="n">
        <v>0</v>
      </c>
      <c r="G319" s="83">
        <f>D319+E319+F319</f>
        <v/>
      </c>
      <c r="H319" s="100">
        <f>IF(G319&gt;0, D319/G319, 0)</f>
        <v/>
      </c>
      <c r="I319" s="101">
        <f>IF(G319&gt;0, (D319-E319)/G319, 0)</f>
        <v/>
      </c>
    </row>
    <row r="320" ht="18" customHeight="1" s="55">
      <c r="A320" s="88" t="inlineStr">
        <is>
          <t>DI846</t>
        </is>
      </c>
      <c r="B320" s="86" t="n">
        <v>26</v>
      </c>
      <c r="C320" s="88" t="inlineStr">
        <is>
          <t>02:54:06</t>
        </is>
      </c>
      <c r="D320" s="86" t="n">
        <v>2</v>
      </c>
      <c r="E320" s="86" t="n">
        <v>1</v>
      </c>
      <c r="F320" s="86" t="n">
        <v>0</v>
      </c>
      <c r="G320" s="86">
        <f>D320+E320+F320</f>
        <v/>
      </c>
      <c r="H320" s="102">
        <f>IF(G320&gt;0, D320/G320, 0)</f>
        <v/>
      </c>
      <c r="I320" s="103">
        <f>IF(G320&gt;0, (D320-E320)/G320, 0)</f>
        <v/>
      </c>
    </row>
    <row r="321" ht="18" customHeight="1" s="55">
      <c r="A321" s="85" t="inlineStr">
        <is>
          <t>DI846</t>
        </is>
      </c>
      <c r="B321" s="83" t="n">
        <v>27</v>
      </c>
      <c r="C321" s="85" t="inlineStr">
        <is>
          <t>02:55:41</t>
        </is>
      </c>
      <c r="D321" s="83" t="n">
        <v>6</v>
      </c>
      <c r="E321" s="83" t="n">
        <v>0</v>
      </c>
      <c r="F321" s="83" t="n">
        <v>1</v>
      </c>
      <c r="G321" s="83">
        <f>D321+E321+F321</f>
        <v/>
      </c>
      <c r="H321" s="100">
        <f>IF(G321&gt;0, D321/G321, 0)</f>
        <v/>
      </c>
      <c r="I321" s="101">
        <f>IF(G321&gt;0, (D321-E321)/G321, 0)</f>
        <v/>
      </c>
    </row>
    <row r="322" ht="18" customHeight="1" s="55">
      <c r="A322" s="88" t="inlineStr">
        <is>
          <t>DI846</t>
        </is>
      </c>
      <c r="B322" s="86" t="n">
        <v>28</v>
      </c>
      <c r="C322" s="88" t="inlineStr">
        <is>
          <t>02:57:59</t>
        </is>
      </c>
      <c r="D322" s="86" t="n">
        <v>2</v>
      </c>
      <c r="E322" s="86" t="n">
        <v>4</v>
      </c>
      <c r="F322" s="86" t="n">
        <v>1</v>
      </c>
      <c r="G322" s="86">
        <f>D322+E322+F322</f>
        <v/>
      </c>
      <c r="H322" s="102">
        <f>IF(G322&gt;0, D322/G322, 0)</f>
        <v/>
      </c>
      <c r="I322" s="103">
        <f>IF(G322&gt;0, (D322-E322)/G322, 0)</f>
        <v/>
      </c>
    </row>
    <row r="323" ht="18" customHeight="1" s="55">
      <c r="A323" s="85" t="inlineStr">
        <is>
          <t>DI846</t>
        </is>
      </c>
      <c r="B323" s="83" t="n">
        <v>29</v>
      </c>
      <c r="C323" s="85" t="inlineStr">
        <is>
          <t>02:58:34</t>
        </is>
      </c>
      <c r="D323" s="83" t="n">
        <v>2</v>
      </c>
      <c r="E323" s="83" t="n">
        <v>0</v>
      </c>
      <c r="F323" s="83" t="n">
        <v>2</v>
      </c>
      <c r="G323" s="83">
        <f>D323+E323+F323</f>
        <v/>
      </c>
      <c r="H323" s="100">
        <f>IF(G323&gt;0, D323/G323, 0)</f>
        <v/>
      </c>
      <c r="I323" s="101">
        <f>IF(G323&gt;0, (D323-E323)/G323, 0)</f>
        <v/>
      </c>
    </row>
    <row r="324" ht="18" customHeight="1" s="55">
      <c r="A324" s="88" t="inlineStr">
        <is>
          <t>DI849</t>
        </is>
      </c>
      <c r="B324" s="86" t="n">
        <v>1</v>
      </c>
      <c r="C324" s="88" t="inlineStr">
        <is>
          <t>01:43:41</t>
        </is>
      </c>
      <c r="D324" s="86" t="n">
        <v>0</v>
      </c>
      <c r="E324" s="86" t="n">
        <v>0</v>
      </c>
      <c r="F324" s="86" t="n">
        <v>0</v>
      </c>
      <c r="G324" s="86">
        <f>D324+E324+F324</f>
        <v/>
      </c>
      <c r="H324" s="102">
        <f>IF(G324&gt;0, D324/G324, 0)</f>
        <v/>
      </c>
      <c r="I324" s="103">
        <f>IF(G324&gt;0, (D324-E324)/G324, 0)</f>
        <v/>
      </c>
    </row>
    <row r="325" ht="18" customHeight="1" s="55">
      <c r="A325" s="85" t="inlineStr">
        <is>
          <t>DI849</t>
        </is>
      </c>
      <c r="B325" s="83" t="n">
        <v>2</v>
      </c>
      <c r="C325" s="85" t="inlineStr">
        <is>
          <t>01:43:49</t>
        </is>
      </c>
      <c r="D325" s="83" t="n">
        <v>0</v>
      </c>
      <c r="E325" s="83" t="n">
        <v>0</v>
      </c>
      <c r="F325" s="83" t="n">
        <v>0</v>
      </c>
      <c r="G325" s="83">
        <f>D325+E325+F325</f>
        <v/>
      </c>
      <c r="H325" s="100">
        <f>IF(G325&gt;0, D325/G325, 0)</f>
        <v/>
      </c>
      <c r="I325" s="101">
        <f>IF(G325&gt;0, (D325-E325)/G325, 0)</f>
        <v/>
      </c>
    </row>
    <row r="326" ht="18" customHeight="1" s="55">
      <c r="A326" s="88" t="inlineStr">
        <is>
          <t>DI849</t>
        </is>
      </c>
      <c r="B326" s="86" t="n">
        <v>3</v>
      </c>
      <c r="C326" s="88" t="inlineStr">
        <is>
          <t>01:43:58</t>
        </is>
      </c>
      <c r="D326" s="86" t="n">
        <v>0</v>
      </c>
      <c r="E326" s="86" t="n">
        <v>1</v>
      </c>
      <c r="F326" s="86" t="n">
        <v>0</v>
      </c>
      <c r="G326" s="86">
        <f>D326+E326+F326</f>
        <v/>
      </c>
      <c r="H326" s="102">
        <f>IF(G326&gt;0, D326/G326, 0)</f>
        <v/>
      </c>
      <c r="I326" s="103">
        <f>IF(G326&gt;0, (D326-E326)/G326, 0)</f>
        <v/>
      </c>
    </row>
    <row r="327" ht="18" customHeight="1" s="55">
      <c r="A327" s="85" t="inlineStr">
        <is>
          <t>DI849</t>
        </is>
      </c>
      <c r="B327" s="83" t="n">
        <v>4</v>
      </c>
      <c r="C327" s="85" t="inlineStr">
        <is>
          <t>01:44:50</t>
        </is>
      </c>
      <c r="D327" s="83" t="n">
        <v>2</v>
      </c>
      <c r="E327" s="83" t="n">
        <v>1</v>
      </c>
      <c r="F327" s="83" t="n">
        <v>0</v>
      </c>
      <c r="G327" s="83">
        <f>D327+E327+F327</f>
        <v/>
      </c>
      <c r="H327" s="100">
        <f>IF(G327&gt;0, D327/G327, 0)</f>
        <v/>
      </c>
      <c r="I327" s="101">
        <f>IF(G327&gt;0, (D327-E327)/G327, 0)</f>
        <v/>
      </c>
    </row>
    <row r="328" ht="18" customHeight="1" s="55">
      <c r="A328" s="88" t="inlineStr">
        <is>
          <t>DI849</t>
        </is>
      </c>
      <c r="B328" s="86" t="n">
        <v>5</v>
      </c>
      <c r="C328" s="88" t="inlineStr">
        <is>
          <t>01:45:07</t>
        </is>
      </c>
      <c r="D328" s="86" t="n">
        <v>1</v>
      </c>
      <c r="E328" s="86" t="n">
        <v>1</v>
      </c>
      <c r="F328" s="86" t="n">
        <v>0</v>
      </c>
      <c r="G328" s="86">
        <f>D328+E328+F328</f>
        <v/>
      </c>
      <c r="H328" s="102">
        <f>IF(G328&gt;0, D328/G328, 0)</f>
        <v/>
      </c>
      <c r="I328" s="103">
        <f>IF(G328&gt;0, (D328-E328)/G328, 0)</f>
        <v/>
      </c>
    </row>
    <row r="329" ht="18" customHeight="1" s="55">
      <c r="A329" s="85" t="inlineStr">
        <is>
          <t>DI849</t>
        </is>
      </c>
      <c r="B329" s="83" t="n">
        <v>6</v>
      </c>
      <c r="C329" s="85" t="inlineStr">
        <is>
          <t>01:45:42</t>
        </is>
      </c>
      <c r="D329" s="83" t="n">
        <v>2</v>
      </c>
      <c r="E329" s="83" t="n">
        <v>0</v>
      </c>
      <c r="F329" s="83" t="n">
        <v>0</v>
      </c>
      <c r="G329" s="83">
        <f>D329+E329+F329</f>
        <v/>
      </c>
      <c r="H329" s="100">
        <f>IF(G329&gt;0, D329/G329, 0)</f>
        <v/>
      </c>
      <c r="I329" s="101">
        <f>IF(G329&gt;0, (D329-E329)/G329, 0)</f>
        <v/>
      </c>
    </row>
    <row r="330" ht="18" customHeight="1" s="55">
      <c r="A330" s="88" t="inlineStr">
        <is>
          <t>DI849</t>
        </is>
      </c>
      <c r="B330" s="86" t="n">
        <v>7</v>
      </c>
      <c r="C330" s="88" t="inlineStr">
        <is>
          <t>01:45:50</t>
        </is>
      </c>
      <c r="D330" s="86" t="n">
        <v>6</v>
      </c>
      <c r="E330" s="86" t="n">
        <v>1</v>
      </c>
      <c r="F330" s="86" t="n">
        <v>0</v>
      </c>
      <c r="G330" s="86">
        <f>D330+E330+F330</f>
        <v/>
      </c>
      <c r="H330" s="102">
        <f>IF(G330&gt;0, D330/G330, 0)</f>
        <v/>
      </c>
      <c r="I330" s="103">
        <f>IF(G330&gt;0, (D330-E330)/G330, 0)</f>
        <v/>
      </c>
    </row>
    <row r="331" ht="18" customHeight="1" s="55">
      <c r="A331" s="85" t="inlineStr">
        <is>
          <t>DI849</t>
        </is>
      </c>
      <c r="B331" s="83" t="n">
        <v>8</v>
      </c>
      <c r="C331" s="85" t="inlineStr">
        <is>
          <t>01:46:08</t>
        </is>
      </c>
      <c r="D331" s="83" t="n">
        <v>2</v>
      </c>
      <c r="E331" s="83" t="n">
        <v>1</v>
      </c>
      <c r="F331" s="83" t="n">
        <v>0</v>
      </c>
      <c r="G331" s="83">
        <f>D331+E331+F331</f>
        <v/>
      </c>
      <c r="H331" s="100">
        <f>IF(G331&gt;0, D331/G331, 0)</f>
        <v/>
      </c>
      <c r="I331" s="101">
        <f>IF(G331&gt;0, (D331-E331)/G331, 0)</f>
        <v/>
      </c>
    </row>
    <row r="332" ht="18" customHeight="1" s="55">
      <c r="A332" s="88" t="inlineStr">
        <is>
          <t>DI849</t>
        </is>
      </c>
      <c r="B332" s="86" t="n">
        <v>9</v>
      </c>
      <c r="C332" s="88" t="inlineStr">
        <is>
          <t>01:46:51</t>
        </is>
      </c>
      <c r="D332" s="86" t="n">
        <v>2</v>
      </c>
      <c r="E332" s="86" t="n">
        <v>2</v>
      </c>
      <c r="F332" s="86" t="n">
        <v>0</v>
      </c>
      <c r="G332" s="86">
        <f>D332+E332+F332</f>
        <v/>
      </c>
      <c r="H332" s="102">
        <f>IF(G332&gt;0, D332/G332, 0)</f>
        <v/>
      </c>
      <c r="I332" s="103">
        <f>IF(G332&gt;0, (D332-E332)/G332, 0)</f>
        <v/>
      </c>
    </row>
    <row r="333" ht="18" customHeight="1" s="55">
      <c r="A333" s="85" t="inlineStr">
        <is>
          <t>DI849</t>
        </is>
      </c>
      <c r="B333" s="83" t="n">
        <v>10</v>
      </c>
      <c r="C333" s="85" t="inlineStr">
        <is>
          <t>01:47:08</t>
        </is>
      </c>
      <c r="D333" s="83" t="n">
        <v>2</v>
      </c>
      <c r="E333" s="83" t="n">
        <v>0</v>
      </c>
      <c r="F333" s="83" t="n">
        <v>0</v>
      </c>
      <c r="G333" s="83">
        <f>D333+E333+F333</f>
        <v/>
      </c>
      <c r="H333" s="100">
        <f>IF(G333&gt;0, D333/G333, 0)</f>
        <v/>
      </c>
      <c r="I333" s="101">
        <f>IF(G333&gt;0, (D333-E333)/G333, 0)</f>
        <v/>
      </c>
    </row>
    <row r="334" ht="18" customHeight="1" s="55">
      <c r="A334" s="88" t="inlineStr">
        <is>
          <t>DI849</t>
        </is>
      </c>
      <c r="B334" s="86" t="n">
        <v>11</v>
      </c>
      <c r="C334" s="88" t="inlineStr">
        <is>
          <t>01:47:12</t>
        </is>
      </c>
      <c r="D334" s="86" t="n">
        <v>2</v>
      </c>
      <c r="E334" s="86" t="n">
        <v>0</v>
      </c>
      <c r="F334" s="86" t="n">
        <v>0</v>
      </c>
      <c r="G334" s="86">
        <f>D334+E334+F334</f>
        <v/>
      </c>
      <c r="H334" s="102">
        <f>IF(G334&gt;0, D334/G334, 0)</f>
        <v/>
      </c>
      <c r="I334" s="103">
        <f>IF(G334&gt;0, (D334-E334)/G334, 0)</f>
        <v/>
      </c>
    </row>
    <row r="335" ht="18" customHeight="1" s="55">
      <c r="A335" s="85" t="inlineStr">
        <is>
          <t>DI849</t>
        </is>
      </c>
      <c r="B335" s="83" t="n">
        <v>12</v>
      </c>
      <c r="C335" s="85" t="inlineStr">
        <is>
          <t>01:47:17</t>
        </is>
      </c>
      <c r="D335" s="83" t="n">
        <v>0</v>
      </c>
      <c r="E335" s="83" t="n">
        <v>0</v>
      </c>
      <c r="F335" s="83" t="n">
        <v>0</v>
      </c>
      <c r="G335" s="83">
        <f>D335+E335+F335</f>
        <v/>
      </c>
      <c r="H335" s="100">
        <f>IF(G335&gt;0, D335/G335, 0)</f>
        <v/>
      </c>
      <c r="I335" s="101">
        <f>IF(G335&gt;0, (D335-E335)/G335, 0)</f>
        <v/>
      </c>
    </row>
    <row r="336" ht="18" customHeight="1" s="55">
      <c r="A336" s="88" t="inlineStr">
        <is>
          <t>DI849</t>
        </is>
      </c>
      <c r="B336" s="86" t="n">
        <v>13</v>
      </c>
      <c r="C336" s="88" t="inlineStr">
        <is>
          <t>01:47:25</t>
        </is>
      </c>
      <c r="D336" s="86" t="n">
        <v>2</v>
      </c>
      <c r="E336" s="86" t="n">
        <v>0</v>
      </c>
      <c r="F336" s="86" t="n">
        <v>0</v>
      </c>
      <c r="G336" s="86">
        <f>D336+E336+F336</f>
        <v/>
      </c>
      <c r="H336" s="102">
        <f>IF(G336&gt;0, D336/G336, 0)</f>
        <v/>
      </c>
      <c r="I336" s="103">
        <f>IF(G336&gt;0, (D336-E336)/G336, 0)</f>
        <v/>
      </c>
    </row>
    <row r="337" ht="18" customHeight="1" s="55">
      <c r="A337" s="85" t="inlineStr">
        <is>
          <t>DI849</t>
        </is>
      </c>
      <c r="B337" s="83" t="n">
        <v>14</v>
      </c>
      <c r="C337" s="85" t="inlineStr">
        <is>
          <t>01:48:09</t>
        </is>
      </c>
      <c r="D337" s="83" t="n">
        <v>1</v>
      </c>
      <c r="E337" s="83" t="n">
        <v>1</v>
      </c>
      <c r="F337" s="83" t="n">
        <v>1</v>
      </c>
      <c r="G337" s="83">
        <f>D337+E337+F337</f>
        <v/>
      </c>
      <c r="H337" s="100">
        <f>IF(G337&gt;0, D337/G337, 0)</f>
        <v/>
      </c>
      <c r="I337" s="101">
        <f>IF(G337&gt;0, (D337-E337)/G337, 0)</f>
        <v/>
      </c>
    </row>
    <row r="338" ht="18" customHeight="1" s="55">
      <c r="A338" s="88" t="inlineStr">
        <is>
          <t>DI849</t>
        </is>
      </c>
      <c r="B338" s="86" t="n">
        <v>15</v>
      </c>
      <c r="C338" s="88" t="inlineStr">
        <is>
          <t>01:48:52</t>
        </is>
      </c>
      <c r="D338" s="86" t="n">
        <v>9</v>
      </c>
      <c r="E338" s="86" t="n">
        <v>2</v>
      </c>
      <c r="F338" s="86" t="n">
        <v>0</v>
      </c>
      <c r="G338" s="86">
        <f>D338+E338+F338</f>
        <v/>
      </c>
      <c r="H338" s="102">
        <f>IF(G338&gt;0, D338/G338, 0)</f>
        <v/>
      </c>
      <c r="I338" s="103">
        <f>IF(G338&gt;0, (D338-E338)/G338, 0)</f>
        <v/>
      </c>
    </row>
    <row r="339" ht="18" customHeight="1" s="55">
      <c r="A339" s="85" t="inlineStr">
        <is>
          <t>DI849</t>
        </is>
      </c>
      <c r="B339" s="83" t="n">
        <v>16</v>
      </c>
      <c r="C339" s="85" t="inlineStr">
        <is>
          <t>01:49:52</t>
        </is>
      </c>
      <c r="D339" s="83" t="n">
        <v>3</v>
      </c>
      <c r="E339" s="83" t="n">
        <v>4</v>
      </c>
      <c r="F339" s="83" t="n">
        <v>0</v>
      </c>
      <c r="G339" s="83">
        <f>D339+E339+F339</f>
        <v/>
      </c>
      <c r="H339" s="100">
        <f>IF(G339&gt;0, D339/G339, 0)</f>
        <v/>
      </c>
      <c r="I339" s="101">
        <f>IF(G339&gt;0, (D339-E339)/G339, 0)</f>
        <v/>
      </c>
    </row>
    <row r="340" ht="18" customHeight="1" s="55">
      <c r="A340" s="88" t="inlineStr">
        <is>
          <t>DI849</t>
        </is>
      </c>
      <c r="B340" s="86" t="n">
        <v>17</v>
      </c>
      <c r="C340" s="88" t="inlineStr">
        <is>
          <t>01:50:44</t>
        </is>
      </c>
      <c r="D340" s="86" t="n">
        <v>2</v>
      </c>
      <c r="E340" s="86" t="n">
        <v>4</v>
      </c>
      <c r="F340" s="86" t="n">
        <v>0</v>
      </c>
      <c r="G340" s="86">
        <f>D340+E340+F340</f>
        <v/>
      </c>
      <c r="H340" s="102">
        <f>IF(G340&gt;0, D340/G340, 0)</f>
        <v/>
      </c>
      <c r="I340" s="103">
        <f>IF(G340&gt;0, (D340-E340)/G340, 0)</f>
        <v/>
      </c>
    </row>
    <row r="341" ht="18" customHeight="1" s="55">
      <c r="A341" s="85" t="inlineStr">
        <is>
          <t>DI849</t>
        </is>
      </c>
      <c r="B341" s="83" t="n">
        <v>18</v>
      </c>
      <c r="C341" s="85" t="inlineStr">
        <is>
          <t>01:51:36</t>
        </is>
      </c>
      <c r="D341" s="83" t="n">
        <v>6</v>
      </c>
      <c r="E341" s="83" t="n">
        <v>2</v>
      </c>
      <c r="F341" s="83" t="n">
        <v>2</v>
      </c>
      <c r="G341" s="83">
        <f>D341+E341+F341</f>
        <v/>
      </c>
      <c r="H341" s="100">
        <f>IF(G341&gt;0, D341/G341, 0)</f>
        <v/>
      </c>
      <c r="I341" s="101">
        <f>IF(G341&gt;0, (D341-E341)/G341, 0)</f>
        <v/>
      </c>
    </row>
    <row r="342" ht="18" customHeight="1" s="55">
      <c r="A342" s="88" t="inlineStr">
        <is>
          <t>DI849</t>
        </is>
      </c>
      <c r="B342" s="86" t="n">
        <v>19</v>
      </c>
      <c r="C342" s="88" t="inlineStr">
        <is>
          <t>01:52:36</t>
        </is>
      </c>
      <c r="D342" s="86" t="n">
        <v>5</v>
      </c>
      <c r="E342" s="86" t="n">
        <v>7</v>
      </c>
      <c r="F342" s="86" t="n">
        <v>1</v>
      </c>
      <c r="G342" s="86">
        <f>D342+E342+F342</f>
        <v/>
      </c>
      <c r="H342" s="102">
        <f>IF(G342&gt;0, D342/G342, 0)</f>
        <v/>
      </c>
      <c r="I342" s="103">
        <f>IF(G342&gt;0, (D342-E342)/G342, 0)</f>
        <v/>
      </c>
    </row>
    <row r="343" ht="18" customHeight="1" s="55">
      <c r="A343" s="85" t="inlineStr">
        <is>
          <t>DI849</t>
        </is>
      </c>
      <c r="B343" s="83" t="n">
        <v>20</v>
      </c>
      <c r="C343" s="85" t="inlineStr">
        <is>
          <t>01:53:20</t>
        </is>
      </c>
      <c r="D343" s="83" t="n">
        <v>13</v>
      </c>
      <c r="E343" s="83" t="n">
        <v>6</v>
      </c>
      <c r="F343" s="83" t="n">
        <v>3</v>
      </c>
      <c r="G343" s="83">
        <f>D343+E343+F343</f>
        <v/>
      </c>
      <c r="H343" s="100">
        <f>IF(G343&gt;0, D343/G343, 0)</f>
        <v/>
      </c>
      <c r="I343" s="101">
        <f>IF(G343&gt;0, (D343-E343)/G343, 0)</f>
        <v/>
      </c>
    </row>
    <row r="344" ht="18" customHeight="1" s="55">
      <c r="A344" s="88" t="inlineStr">
        <is>
          <t>DI849</t>
        </is>
      </c>
      <c r="B344" s="86" t="n">
        <v>21</v>
      </c>
      <c r="C344" s="88" t="inlineStr">
        <is>
          <t>01:53:28</t>
        </is>
      </c>
      <c r="D344" s="86" t="n">
        <v>11</v>
      </c>
      <c r="E344" s="86" t="n">
        <v>7</v>
      </c>
      <c r="F344" s="86" t="n">
        <v>3</v>
      </c>
      <c r="G344" s="86">
        <f>D344+E344+F344</f>
        <v/>
      </c>
      <c r="H344" s="102">
        <f>IF(G344&gt;0, D344/G344, 0)</f>
        <v/>
      </c>
      <c r="I344" s="103">
        <f>IF(G344&gt;0, (D344-E344)/G344, 0)</f>
        <v/>
      </c>
    </row>
    <row r="345" ht="18" customHeight="1" s="55">
      <c r="A345" s="85" t="inlineStr">
        <is>
          <t>DI849</t>
        </is>
      </c>
      <c r="B345" s="83" t="n">
        <v>22</v>
      </c>
      <c r="C345" s="85" t="inlineStr">
        <is>
          <t>01:54:29</t>
        </is>
      </c>
      <c r="D345" s="83" t="n">
        <v>1</v>
      </c>
      <c r="E345" s="83" t="n">
        <v>3</v>
      </c>
      <c r="F345" s="83" t="n">
        <v>0</v>
      </c>
      <c r="G345" s="83">
        <f>D345+E345+F345</f>
        <v/>
      </c>
      <c r="H345" s="100">
        <f>IF(G345&gt;0, D345/G345, 0)</f>
        <v/>
      </c>
      <c r="I345" s="101">
        <f>IF(G345&gt;0, (D345-E345)/G345, 0)</f>
        <v/>
      </c>
    </row>
    <row r="346" ht="18" customHeight="1" s="55">
      <c r="A346" s="88" t="inlineStr">
        <is>
          <t>DI849</t>
        </is>
      </c>
      <c r="B346" s="86" t="n">
        <v>23</v>
      </c>
      <c r="C346" s="88" t="inlineStr">
        <is>
          <t>01:55:12</t>
        </is>
      </c>
      <c r="D346" s="86" t="n">
        <v>0</v>
      </c>
      <c r="E346" s="86" t="n">
        <v>6</v>
      </c>
      <c r="F346" s="86" t="n">
        <v>0</v>
      </c>
      <c r="G346" s="86">
        <f>D346+E346+F346</f>
        <v/>
      </c>
      <c r="H346" s="102">
        <f>IF(G346&gt;0, D346/G346, 0)</f>
        <v/>
      </c>
      <c r="I346" s="103">
        <f>IF(G346&gt;0, (D346-E346)/G346, 0)</f>
        <v/>
      </c>
    </row>
    <row r="347" ht="18" customHeight="1" s="55">
      <c r="A347" s="85" t="inlineStr">
        <is>
          <t>DI849</t>
        </is>
      </c>
      <c r="B347" s="83" t="n">
        <v>24</v>
      </c>
      <c r="C347" s="85" t="inlineStr">
        <is>
          <t>01:55:21</t>
        </is>
      </c>
      <c r="D347" s="83" t="n">
        <v>1</v>
      </c>
      <c r="E347" s="83" t="n">
        <v>0</v>
      </c>
      <c r="F347" s="83" t="n">
        <v>0</v>
      </c>
      <c r="G347" s="83">
        <f>D347+E347+F347</f>
        <v/>
      </c>
      <c r="H347" s="100">
        <f>IF(G347&gt;0, D347/G347, 0)</f>
        <v/>
      </c>
      <c r="I347" s="101">
        <f>IF(G347&gt;0, (D347-E347)/G347, 0)</f>
        <v/>
      </c>
    </row>
    <row r="348" ht="18" customHeight="1" s="55">
      <c r="A348" s="88" t="inlineStr">
        <is>
          <t>DI849</t>
        </is>
      </c>
      <c r="B348" s="86" t="n">
        <v>25</v>
      </c>
      <c r="C348" s="88" t="inlineStr">
        <is>
          <t>01:56:04</t>
        </is>
      </c>
      <c r="D348" s="86" t="n">
        <v>3</v>
      </c>
      <c r="E348" s="86" t="n">
        <v>2</v>
      </c>
      <c r="F348" s="86" t="n">
        <v>0</v>
      </c>
      <c r="G348" s="86">
        <f>D348+E348+F348</f>
        <v/>
      </c>
      <c r="H348" s="102">
        <f>IF(G348&gt;0, D348/G348, 0)</f>
        <v/>
      </c>
      <c r="I348" s="103">
        <f>IF(G348&gt;0, (D348-E348)/G348, 0)</f>
        <v/>
      </c>
    </row>
    <row r="349" ht="18" customHeight="1" s="55">
      <c r="A349" s="85" t="inlineStr">
        <is>
          <t>DI849</t>
        </is>
      </c>
      <c r="B349" s="83" t="n">
        <v>26</v>
      </c>
      <c r="C349" s="85" t="inlineStr">
        <is>
          <t>01:56:21</t>
        </is>
      </c>
      <c r="D349" s="83" t="n">
        <v>7</v>
      </c>
      <c r="E349" s="83" t="n">
        <v>1</v>
      </c>
      <c r="F349" s="83" t="n">
        <v>1</v>
      </c>
      <c r="G349" s="83">
        <f>D349+E349+F349</f>
        <v/>
      </c>
      <c r="H349" s="100">
        <f>IF(G349&gt;0, D349/G349, 0)</f>
        <v/>
      </c>
      <c r="I349" s="101">
        <f>IF(G349&gt;0, (D349-E349)/G349, 0)</f>
        <v/>
      </c>
    </row>
    <row r="350" ht="18" customHeight="1" s="55">
      <c r="A350" s="88" t="inlineStr">
        <is>
          <t>DI849</t>
        </is>
      </c>
      <c r="B350" s="86" t="n">
        <v>27</v>
      </c>
      <c r="C350" s="88" t="inlineStr">
        <is>
          <t>01:56:30</t>
        </is>
      </c>
      <c r="D350" s="86" t="n">
        <v>4</v>
      </c>
      <c r="E350" s="86" t="n">
        <v>4</v>
      </c>
      <c r="F350" s="86" t="n">
        <v>0</v>
      </c>
      <c r="G350" s="86">
        <f>D350+E350+F350</f>
        <v/>
      </c>
      <c r="H350" s="102">
        <f>IF(G350&gt;0, D350/G350, 0)</f>
        <v/>
      </c>
      <c r="I350" s="103">
        <f>IF(G350&gt;0, (D350-E350)/G350, 0)</f>
        <v/>
      </c>
    </row>
    <row r="351" ht="18" customHeight="1" s="55">
      <c r="A351" s="85" t="inlineStr">
        <is>
          <t>DI849</t>
        </is>
      </c>
      <c r="B351" s="83" t="n">
        <v>28</v>
      </c>
      <c r="C351" s="85" t="inlineStr">
        <is>
          <t>01:58:57</t>
        </is>
      </c>
      <c r="D351" s="83" t="n">
        <v>0</v>
      </c>
      <c r="E351" s="83" t="n">
        <v>0</v>
      </c>
      <c r="F351" s="83" t="n">
        <v>0</v>
      </c>
      <c r="G351" s="83">
        <f>D351+E351+F351</f>
        <v/>
      </c>
      <c r="H351" s="100">
        <f>IF(G351&gt;0, D351/G351, 0)</f>
        <v/>
      </c>
      <c r="I351" s="101">
        <f>IF(G351&gt;0, (D351-E351)/G351, 0)</f>
        <v/>
      </c>
    </row>
    <row r="352" ht="18" customHeight="1" s="55">
      <c r="A352" s="88" t="inlineStr">
        <is>
          <t>DI849</t>
        </is>
      </c>
      <c r="B352" s="86" t="n">
        <v>29</v>
      </c>
      <c r="C352" s="88" t="inlineStr">
        <is>
          <t>01:59:57</t>
        </is>
      </c>
      <c r="D352" s="86" t="n">
        <v>0</v>
      </c>
      <c r="E352" s="86" t="n">
        <v>0</v>
      </c>
      <c r="F352" s="86" t="n">
        <v>0</v>
      </c>
      <c r="G352" s="86">
        <f>D352+E352+F352</f>
        <v/>
      </c>
      <c r="H352" s="102">
        <f>IF(G352&gt;0, D352/G352, 0)</f>
        <v/>
      </c>
      <c r="I352" s="103">
        <f>IF(G352&gt;0, (D352-E352)/G352, 0)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40" customWidth="1" style="54" min="1" max="1"/>
    <col width="25" customWidth="1" style="54" min="2" max="2"/>
    <col width="40" customWidth="1" style="54" min="3" max="3"/>
    <col width="29" customWidth="1" style="54" min="4" max="4"/>
    <col width="21" customWidth="1" style="54" min="5" max="5"/>
    <col width="12" customWidth="1" style="54" min="6" max="6"/>
    <col width="22" customWidth="1" style="54" min="7" max="7"/>
    <col width="12" customWidth="1" style="54" min="8" max="8"/>
    <col width="22" customWidth="1" style="54" min="9" max="13"/>
  </cols>
  <sheetData>
    <row r="1" ht="27.75" customHeight="1" s="55">
      <c r="A1" s="65" t="inlineStr">
        <is>
          <t>HISTORICAL REFERENCE DATASETS: LEADER RECRUITMENT BENCHMARKS &amp; WORKLOAD DISTRIBUTION</t>
        </is>
      </c>
    </row>
    <row r="2" ht="18" customHeight="1" s="55">
      <c r="A2" s="66" t="inlineStr">
        <is>
          <t>Reference recruitment curves from Mukhopadhyay &amp; Annagiri (2021) Ethology used to parameterize the Agent-Based Model (ABM, Fig. S5).</t>
        </is>
      </c>
    </row>
    <row r="4" ht="15" customHeight="1" s="55">
      <c r="A4" s="104" t="inlineStr">
        <is>
          <t>LEADER RECRUITMENT OVER NORMALIZED RELOCATION TIME (MUKHOPADHYAY &amp; ANNAGIRI 2021)</t>
        </is>
      </c>
    </row>
    <row r="5" ht="24" customHeight="1" s="55">
      <c r="A5" s="105" t="inlineStr">
        <is>
          <t>Time Decile</t>
        </is>
      </c>
      <c r="B5" s="105" t="inlineStr">
        <is>
          <t>DI952</t>
        </is>
      </c>
      <c r="C5" s="105" t="inlineStr">
        <is>
          <t>DI960</t>
        </is>
      </c>
      <c r="D5" s="105" t="inlineStr">
        <is>
          <t>DI961</t>
        </is>
      </c>
      <c r="E5" s="105" t="inlineStr">
        <is>
          <t>DI962</t>
        </is>
      </c>
      <c r="F5" s="105" t="inlineStr">
        <is>
          <t>DI963</t>
        </is>
      </c>
      <c r="G5" s="105" t="inlineStr">
        <is>
          <t>DI966</t>
        </is>
      </c>
      <c r="H5" s="105" t="inlineStr">
        <is>
          <t>DI968</t>
        </is>
      </c>
      <c r="I5" s="105" t="inlineStr">
        <is>
          <t>DI972</t>
        </is>
      </c>
      <c r="J5" s="105" t="inlineStr">
        <is>
          <t>DI973</t>
        </is>
      </c>
      <c r="K5" s="105" t="inlineStr">
        <is>
          <t>DI9675</t>
        </is>
      </c>
      <c r="L5" s="105" t="inlineStr">
        <is>
          <t>Average (%)</t>
        </is>
      </c>
      <c r="M5" s="105" t="inlineStr">
        <is>
          <t>SD (%)</t>
        </is>
      </c>
    </row>
    <row r="6" ht="18.75" customHeight="1" s="55">
      <c r="A6" s="106" t="inlineStr">
        <is>
          <t>0-10%</t>
        </is>
      </c>
      <c r="B6" s="70" t="n">
        <v>11.1111111111111</v>
      </c>
      <c r="C6" s="70" t="n">
        <v>9.52380952380952</v>
      </c>
      <c r="D6" s="70" t="n">
        <v>18.75</v>
      </c>
      <c r="E6" s="70" t="n">
        <v>11.7647058823529</v>
      </c>
      <c r="F6" s="70" t="n">
        <v>25</v>
      </c>
      <c r="G6" s="70" t="n">
        <v>11.1111111111111</v>
      </c>
      <c r="H6" s="70" t="n">
        <v>6.25</v>
      </c>
      <c r="I6" s="70" t="n">
        <v>16.6666666666667</v>
      </c>
      <c r="J6" s="70" t="n">
        <v>14.2857142857143</v>
      </c>
      <c r="K6" s="70" t="n">
        <v>28.5714285714286</v>
      </c>
      <c r="L6" s="70" t="n">
        <v>15.3034547152194</v>
      </c>
      <c r="M6" s="70" t="n">
        <v>7.05438013204371</v>
      </c>
    </row>
    <row r="7" ht="18.75" customHeight="1" s="55">
      <c r="A7" s="106" t="inlineStr">
        <is>
          <t>11-20%</t>
        </is>
      </c>
      <c r="B7" s="73" t="n">
        <v>11.1111111111111</v>
      </c>
      <c r="C7" s="73" t="n">
        <v>0</v>
      </c>
      <c r="D7" s="73" t="n">
        <v>37.5</v>
      </c>
      <c r="E7" s="73" t="n">
        <v>5.88235294117647</v>
      </c>
      <c r="F7" s="73" t="n">
        <v>0</v>
      </c>
      <c r="G7" s="73" t="n">
        <v>0</v>
      </c>
      <c r="H7" s="73" t="n">
        <v>6.25</v>
      </c>
      <c r="I7" s="73" t="n">
        <v>0</v>
      </c>
      <c r="J7" s="73" t="n">
        <v>0</v>
      </c>
      <c r="K7" s="73" t="n">
        <v>0</v>
      </c>
      <c r="L7" s="73" t="n">
        <v>6.07434640522876</v>
      </c>
      <c r="M7" s="73" t="n">
        <v>11.7113170515668</v>
      </c>
    </row>
    <row r="8" ht="18.75" customHeight="1" s="55">
      <c r="A8" s="106" t="inlineStr">
        <is>
          <t>21-30%</t>
        </is>
      </c>
      <c r="B8" s="70" t="n">
        <v>0</v>
      </c>
      <c r="C8" s="70" t="n">
        <v>4.76190476190476</v>
      </c>
      <c r="D8" s="70" t="n">
        <v>18.75</v>
      </c>
      <c r="E8" s="70" t="n">
        <v>0</v>
      </c>
      <c r="F8" s="70" t="n">
        <v>0</v>
      </c>
      <c r="G8" s="70" t="n">
        <v>5.55555555555556</v>
      </c>
      <c r="H8" s="70" t="n">
        <v>6.25</v>
      </c>
      <c r="I8" s="70" t="n">
        <v>0</v>
      </c>
      <c r="J8" s="70" t="n">
        <v>7.14285714285714</v>
      </c>
      <c r="K8" s="70" t="n">
        <v>0</v>
      </c>
      <c r="L8" s="70" t="n">
        <v>4.24603174603175</v>
      </c>
      <c r="M8" s="70" t="n">
        <v>5.91511704376062</v>
      </c>
    </row>
    <row r="9" ht="18.75" customHeight="1" s="55">
      <c r="A9" s="106" t="inlineStr">
        <is>
          <t>31-40%</t>
        </is>
      </c>
      <c r="B9" s="73" t="n">
        <v>11.1111111111111</v>
      </c>
      <c r="C9" s="73" t="n">
        <v>4.76190476190476</v>
      </c>
      <c r="D9" s="73" t="n">
        <v>12.5</v>
      </c>
      <c r="E9" s="73" t="n">
        <v>47.0588235294118</v>
      </c>
      <c r="F9" s="73" t="n">
        <v>6.25</v>
      </c>
      <c r="G9" s="73" t="n">
        <v>11.1111111111111</v>
      </c>
      <c r="H9" s="73" t="n">
        <v>6.25</v>
      </c>
      <c r="I9" s="73" t="n">
        <v>0</v>
      </c>
      <c r="J9" s="73" t="n">
        <v>7.14285714285714</v>
      </c>
      <c r="K9" s="73" t="n">
        <v>14.2857142857143</v>
      </c>
      <c r="L9" s="73" t="n">
        <v>12.047152194211</v>
      </c>
      <c r="M9" s="73" t="n">
        <v>13.0053855087984</v>
      </c>
    </row>
    <row r="10" ht="18.75" customHeight="1" s="55">
      <c r="A10" s="106" t="inlineStr">
        <is>
          <t>41-50%</t>
        </is>
      </c>
      <c r="B10" s="70" t="n">
        <v>11.1111111111111</v>
      </c>
      <c r="C10" s="70" t="n">
        <v>28.5714285714286</v>
      </c>
      <c r="D10" s="70" t="n">
        <v>0</v>
      </c>
      <c r="E10" s="70" t="n">
        <v>11.7647058823529</v>
      </c>
      <c r="F10" s="70" t="n">
        <v>12.5</v>
      </c>
      <c r="G10" s="70" t="n">
        <v>27.7777777777778</v>
      </c>
      <c r="H10" s="70" t="n">
        <v>12.5</v>
      </c>
      <c r="I10" s="70" t="n">
        <v>16.6666666666667</v>
      </c>
      <c r="J10" s="70" t="n">
        <v>7.14285714285714</v>
      </c>
      <c r="K10" s="70" t="n">
        <v>0</v>
      </c>
      <c r="L10" s="70" t="n">
        <v>12.8034547152194</v>
      </c>
      <c r="M10" s="70" t="n">
        <v>9.72859601038709</v>
      </c>
    </row>
    <row r="11" ht="18.75" customHeight="1" s="55">
      <c r="A11" s="106" t="inlineStr">
        <is>
          <t>51-60%</t>
        </is>
      </c>
      <c r="B11" s="73" t="n">
        <v>44.4444444444444</v>
      </c>
      <c r="C11" s="73" t="n">
        <v>19.0476190476191</v>
      </c>
      <c r="D11" s="73" t="n">
        <v>0</v>
      </c>
      <c r="E11" s="73" t="n">
        <v>11.7647058823529</v>
      </c>
      <c r="F11" s="73" t="n">
        <v>12.5</v>
      </c>
      <c r="G11" s="73" t="n">
        <v>5.55555555555556</v>
      </c>
      <c r="H11" s="73" t="n">
        <v>12.5</v>
      </c>
      <c r="I11" s="73" t="n">
        <v>0</v>
      </c>
      <c r="J11" s="73" t="n">
        <v>0</v>
      </c>
      <c r="K11" s="73" t="n">
        <v>0</v>
      </c>
      <c r="L11" s="73" t="n">
        <v>10.5812324929972</v>
      </c>
      <c r="M11" s="73" t="n">
        <v>13.7447692057705</v>
      </c>
    </row>
    <row r="12" ht="18.75" customHeight="1" s="55">
      <c r="A12" s="106" t="inlineStr">
        <is>
          <t>61-70%</t>
        </is>
      </c>
      <c r="B12" s="70" t="n">
        <v>0</v>
      </c>
      <c r="C12" s="70" t="n">
        <v>4.76190476190476</v>
      </c>
      <c r="D12" s="70" t="n">
        <v>12.5</v>
      </c>
      <c r="E12" s="70" t="n">
        <v>11.7647058823529</v>
      </c>
      <c r="F12" s="70" t="n">
        <v>37.5</v>
      </c>
      <c r="G12" s="70" t="n">
        <v>16.6666666666667</v>
      </c>
      <c r="H12" s="70" t="n">
        <v>25</v>
      </c>
      <c r="I12" s="70" t="n">
        <v>33.3333333333333</v>
      </c>
      <c r="J12" s="70" t="n">
        <v>42.8571428571429</v>
      </c>
      <c r="K12" s="70" t="n">
        <v>14.2857142857143</v>
      </c>
      <c r="L12" s="70" t="n">
        <v>19.8669467787115</v>
      </c>
      <c r="M12" s="70" t="n">
        <v>14.2646942320218</v>
      </c>
    </row>
    <row r="13" ht="18.75" customHeight="1" s="55">
      <c r="A13" s="106" t="inlineStr">
        <is>
          <t>71-80%</t>
        </is>
      </c>
      <c r="B13" s="73" t="n">
        <v>0</v>
      </c>
      <c r="C13" s="73" t="n">
        <v>19.0476190476191</v>
      </c>
      <c r="D13" s="73" t="n">
        <v>0</v>
      </c>
      <c r="E13" s="73" t="n">
        <v>0</v>
      </c>
      <c r="F13" s="73" t="n">
        <v>6.25</v>
      </c>
      <c r="G13" s="73" t="n">
        <v>22.2222222222222</v>
      </c>
      <c r="H13" s="73" t="n">
        <v>18.75</v>
      </c>
      <c r="I13" s="73" t="n">
        <v>0</v>
      </c>
      <c r="J13" s="73" t="n">
        <v>7.14285714285714</v>
      </c>
      <c r="K13" s="73" t="n">
        <v>14.2857142857143</v>
      </c>
      <c r="L13" s="73" t="n">
        <v>8.769841269841271</v>
      </c>
      <c r="M13" s="73" t="n">
        <v>9.026287742608391</v>
      </c>
    </row>
    <row r="14" ht="18.75" customHeight="1" s="55">
      <c r="A14" s="106" t="inlineStr">
        <is>
          <t>81-90%</t>
        </is>
      </c>
      <c r="B14" s="70" t="n">
        <v>0</v>
      </c>
      <c r="C14" s="70" t="n">
        <v>9.52380952380952</v>
      </c>
      <c r="D14" s="70" t="n">
        <v>0</v>
      </c>
      <c r="E14" s="70" t="n">
        <v>0</v>
      </c>
      <c r="F14" s="70" t="n">
        <v>0</v>
      </c>
      <c r="G14" s="70" t="n">
        <v>0</v>
      </c>
      <c r="H14" s="70" t="n">
        <v>6.25</v>
      </c>
      <c r="I14" s="70" t="n">
        <v>0</v>
      </c>
      <c r="J14" s="70" t="n">
        <v>7.14285714285714</v>
      </c>
      <c r="K14" s="70" t="n">
        <v>14.2857142857143</v>
      </c>
      <c r="L14" s="70" t="n">
        <v>3.7202380952381</v>
      </c>
      <c r="M14" s="70" t="n">
        <v>5.23307614877101</v>
      </c>
    </row>
    <row r="15" ht="18.75" customHeight="1" s="55">
      <c r="A15" s="106" t="inlineStr">
        <is>
          <t>91-100%</t>
        </is>
      </c>
      <c r="B15" s="73" t="n">
        <v>11.1111111111111</v>
      </c>
      <c r="C15" s="73" t="n">
        <v>0</v>
      </c>
      <c r="D15" s="73" t="n">
        <v>0</v>
      </c>
      <c r="E15" s="73" t="n">
        <v>0</v>
      </c>
      <c r="F15" s="73" t="n">
        <v>0</v>
      </c>
      <c r="G15" s="73" t="n">
        <v>0</v>
      </c>
      <c r="H15" s="73" t="n">
        <v>0</v>
      </c>
      <c r="I15" s="73" t="n">
        <v>33.3333333333333</v>
      </c>
      <c r="J15" s="73" t="n">
        <v>7.14285714285714</v>
      </c>
      <c r="K15" s="73" t="n">
        <v>14.2857142857143</v>
      </c>
      <c r="L15" s="73" t="n">
        <v>6.58730158730159</v>
      </c>
      <c r="M15" s="73" t="n">
        <v>10.830740818154</v>
      </c>
    </row>
    <row r="18" ht="15" customHeight="1" s="55">
      <c r="A18" s="104" t="inlineStr">
        <is>
          <t>INDIVIDUAL LEADER WORKLOAD DISTRIBUTION (REPRESENTATIVE COLONY: DI831 CONTROL)</t>
        </is>
      </c>
    </row>
    <row r="19" ht="24" customHeight="1" s="55">
      <c r="A19" s="105" t="inlineStr">
        <is>
          <t>Leader Ant Color Code</t>
        </is>
      </c>
      <c r="B19" s="105" t="inlineStr">
        <is>
          <t>Tandem Runs Performed</t>
        </is>
      </c>
      <c r="C19" s="105" t="inlineStr">
        <is>
          <t>Percentage of Colony Tandem Runs (%)</t>
        </is>
      </c>
      <c r="D19" s="105" t="inlineStr">
        <is>
          <t>Cumulative Percentage (%)</t>
        </is>
      </c>
    </row>
    <row r="20" ht="18.75" customHeight="1" s="55">
      <c r="A20" s="80" t="inlineStr">
        <is>
          <t>(-w-)</t>
        </is>
      </c>
      <c r="B20" s="68" t="n">
        <v>1</v>
      </c>
      <c r="C20" s="69">
        <f>B20/$B$29</f>
        <v/>
      </c>
      <c r="D20" s="69">
        <f>SUM($B$20:B20)/$B$29</f>
        <v/>
      </c>
    </row>
    <row r="21" ht="18.75" customHeight="1" s="55">
      <c r="A21" s="82" t="inlineStr">
        <is>
          <t>(wwy)</t>
        </is>
      </c>
      <c r="B21" s="71" t="n">
        <v>2</v>
      </c>
      <c r="C21" s="72">
        <f>B21/$B$29</f>
        <v/>
      </c>
      <c r="D21" s="72">
        <f>SUM($B$20:B21)/$B$29</f>
        <v/>
      </c>
    </row>
    <row r="22" ht="18.75" customHeight="1" s="55">
      <c r="A22" s="80" t="inlineStr">
        <is>
          <t>(OO-)</t>
        </is>
      </c>
      <c r="B22" s="68" t="n">
        <v>3</v>
      </c>
      <c r="C22" s="69">
        <f>B22/$B$29</f>
        <v/>
      </c>
      <c r="D22" s="69">
        <f>SUM($B$20:B22)/$B$29</f>
        <v/>
      </c>
    </row>
    <row r="23" ht="18.75" customHeight="1" s="55">
      <c r="A23" s="82" t="inlineStr">
        <is>
          <t>(-wo)</t>
        </is>
      </c>
      <c r="B23" s="71" t="n">
        <v>5</v>
      </c>
      <c r="C23" s="72">
        <f>B23/$B$29</f>
        <v/>
      </c>
      <c r="D23" s="72">
        <f>SUM($B$20:B23)/$B$29</f>
        <v/>
      </c>
    </row>
    <row r="24" ht="18.75" customHeight="1" s="55">
      <c r="A24" s="80" t="inlineStr">
        <is>
          <t>(oww)</t>
        </is>
      </c>
      <c r="B24" s="68" t="n">
        <v>5</v>
      </c>
      <c r="C24" s="69">
        <f>B24/$B$29</f>
        <v/>
      </c>
      <c r="D24" s="69">
        <f>SUM($B$20:B24)/$B$29</f>
        <v/>
      </c>
    </row>
    <row r="25" ht="18.75" customHeight="1" s="55">
      <c r="A25" s="82" t="inlineStr">
        <is>
          <t>(bb-)</t>
        </is>
      </c>
      <c r="B25" s="71" t="n">
        <v>5</v>
      </c>
      <c r="C25" s="72">
        <f>B25/$B$29</f>
        <v/>
      </c>
      <c r="D25" s="72">
        <f>SUM($B$20:B25)/$B$29</f>
        <v/>
      </c>
    </row>
    <row r="26" ht="18.75" customHeight="1" s="55">
      <c r="A26" s="80" t="inlineStr">
        <is>
          <t>(bw-)</t>
        </is>
      </c>
      <c r="B26" s="68" t="n">
        <v>6</v>
      </c>
      <c r="C26" s="69">
        <f>B26/$B$29</f>
        <v/>
      </c>
      <c r="D26" s="69">
        <f>SUM($B$20:B26)/$B$29</f>
        <v/>
      </c>
    </row>
    <row r="27" ht="18.75" customHeight="1" s="55">
      <c r="A27" s="82" t="inlineStr">
        <is>
          <t>(w--)</t>
        </is>
      </c>
      <c r="B27" s="71" t="n">
        <v>6</v>
      </c>
      <c r="C27" s="72">
        <f>B27/$B$29</f>
        <v/>
      </c>
      <c r="D27" s="72">
        <f>SUM($B$20:B27)/$B$29</f>
        <v/>
      </c>
    </row>
    <row r="28" ht="18.75" customHeight="1" s="55">
      <c r="A28" s="80" t="inlineStr">
        <is>
          <t>(wo-)</t>
        </is>
      </c>
      <c r="B28" s="68" t="n">
        <v>10</v>
      </c>
      <c r="C28" s="69">
        <f>B28/$B$29</f>
        <v/>
      </c>
      <c r="D28" s="69">
        <f>SUM($B$20:B28)/$B$29</f>
        <v/>
      </c>
    </row>
    <row r="29" ht="19.5" customHeight="1" s="55">
      <c r="A29" s="97" t="inlineStr">
        <is>
          <t>Total Tandem Runs</t>
        </is>
      </c>
      <c r="B29" s="107">
        <f>SUM(B20:B28)</f>
        <v/>
      </c>
      <c r="C29" s="99">
        <f>SUM(C20:C28)</f>
        <v/>
      </c>
      <c r="D29" s="108" t="n">
        <v>1</v>
      </c>
    </row>
  </sheetData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1" workbookViewId="0">
      <selection activeCell="A1" sqref="A1"/>
    </sheetView>
  </sheetViews>
  <sheetFormatPr baseColWidth="8" defaultRowHeight="15" outlineLevelCol="0"/>
  <cols>
    <col width="12" customWidth="1" style="55" min="1" max="1"/>
    <col width="19" customWidth="1" style="55" min="2" max="2"/>
    <col width="26" customWidth="1" style="55" min="3" max="3"/>
    <col width="29" customWidth="1" style="55" min="4" max="4"/>
    <col width="19" customWidth="1" style="55" min="5" max="5"/>
    <col width="25" customWidth="1" style="55" min="6" max="6"/>
    <col width="28" customWidth="1" style="55" min="7" max="7"/>
    <col width="27" customWidth="1" style="55" min="8" max="8"/>
    <col width="26" customWidth="1" style="55" min="9" max="9"/>
    <col width="29" customWidth="1" style="55" min="10" max="10"/>
    <col width="19" customWidth="1" style="55" min="11" max="11"/>
    <col width="20" customWidth="1" style="55" min="12" max="12"/>
    <col width="19" customWidth="1" style="55" min="13" max="13"/>
  </cols>
  <sheetData>
    <row r="1">
      <c r="A1" s="109" t="inlineStr">
        <is>
          <t>FIGURE 2: EXTRACTED EMPIRICAL DATA POINTS &amp; PAIRED TESTS</t>
        </is>
      </c>
    </row>
    <row r="2">
      <c r="A2" s="110" t="inlineStr">
        <is>
          <t>Full colony comparisons (n=12), density scaling lines (bottleneck vs control), and jam catalysts</t>
        </is>
      </c>
    </row>
    <row r="3"/>
    <row r="4">
      <c r="A4" s="111" t="inlineStr">
        <is>
          <t>Colony ID</t>
        </is>
      </c>
      <c r="B4" s="111" t="inlineStr">
        <is>
          <t>Colony Size</t>
        </is>
      </c>
      <c r="C4" s="111" t="inlineStr">
        <is>
          <t>Interruptions (Control)</t>
        </is>
      </c>
      <c r="D4" s="111" t="inlineStr">
        <is>
          <t>Interruptions (Bottleneck)</t>
        </is>
      </c>
      <c r="E4" s="111" t="inlineStr">
        <is>
          <t>Diff (Int)</t>
        </is>
      </c>
      <c r="F4" s="111" t="inlineStr">
        <is>
          <t>Traffic Jams (Control)</t>
        </is>
      </c>
      <c r="G4" s="111" t="inlineStr">
        <is>
          <t>Traffic Jams (Bottleneck)</t>
        </is>
      </c>
      <c r="H4" s="111" t="inlineStr">
        <is>
          <t>Jam Surge Ratio</t>
        </is>
      </c>
      <c r="I4" s="111" t="inlineStr">
        <is>
          <t>Transport min (Control)</t>
        </is>
      </c>
      <c r="J4" s="111" t="inlineStr">
        <is>
          <t>Transport min (Bottleneck)</t>
        </is>
      </c>
      <c r="K4" s="111" t="inlineStr">
        <is>
          <t>Time Ratio</t>
        </is>
      </c>
      <c r="L4" s="111" t="inlineStr">
        <is>
          <t>One-Lane Fit Jams</t>
        </is>
      </c>
      <c r="M4" s="111" t="inlineStr">
        <is>
          <t>Control Fit Jams</t>
        </is>
      </c>
    </row>
    <row r="5">
      <c r="A5" s="112" t="inlineStr">
        <is>
          <t>DI831</t>
        </is>
      </c>
      <c r="B5" s="113" t="n">
        <v>54</v>
      </c>
      <c r="C5" s="113" t="n">
        <v>6</v>
      </c>
      <c r="D5" s="113" t="n">
        <v>14</v>
      </c>
      <c r="E5" s="114">
        <f>D5-C5</f>
        <v/>
      </c>
      <c r="F5" s="113" t="n">
        <v>0</v>
      </c>
      <c r="G5" s="113" t="n">
        <v>1</v>
      </c>
      <c r="H5" s="114">
        <f>IF(F5=0, G5, G5/F5)</f>
        <v/>
      </c>
      <c r="I5" s="113" t="n">
        <v>13</v>
      </c>
      <c r="J5" s="113" t="n">
        <v>24</v>
      </c>
      <c r="K5" s="114">
        <f>J5/I5</f>
        <v/>
      </c>
      <c r="L5" s="113" t="n">
        <v>2.43</v>
      </c>
      <c r="M5" s="113" t="n">
        <v>0.14</v>
      </c>
    </row>
    <row r="6">
      <c r="A6" s="112" t="inlineStr">
        <is>
          <t>DI832</t>
        </is>
      </c>
      <c r="B6" s="113" t="n">
        <v>90</v>
      </c>
      <c r="C6" s="113" t="n">
        <v>12</v>
      </c>
      <c r="D6" s="113" t="n">
        <v>34</v>
      </c>
      <c r="E6" s="114">
        <f>D6-C6</f>
        <v/>
      </c>
      <c r="F6" s="113" t="n">
        <v>0</v>
      </c>
      <c r="G6" s="113" t="n">
        <v>4</v>
      </c>
      <c r="H6" s="114">
        <f>IF(F6=0, G6, G6/F6)</f>
        <v/>
      </c>
      <c r="I6" s="113" t="n">
        <v>15</v>
      </c>
      <c r="J6" s="113" t="n">
        <v>17</v>
      </c>
      <c r="K6" s="114">
        <f>J6/I6</f>
        <v/>
      </c>
      <c r="L6" s="113" t="n">
        <v>4.86</v>
      </c>
      <c r="M6" s="113" t="n">
        <v>0.26</v>
      </c>
    </row>
    <row r="7">
      <c r="A7" s="112" t="inlineStr">
        <is>
          <t>DI833</t>
        </is>
      </c>
      <c r="B7" s="113" t="n">
        <v>110</v>
      </c>
      <c r="C7" s="113" t="n">
        <v>16</v>
      </c>
      <c r="D7" s="113" t="n">
        <v>45</v>
      </c>
      <c r="E7" s="114">
        <f>D7-C7</f>
        <v/>
      </c>
      <c r="F7" s="113" t="n">
        <v>2</v>
      </c>
      <c r="G7" s="113" t="n">
        <v>11</v>
      </c>
      <c r="H7" s="114">
        <f>IF(F7=0, G7, G7/F7)</f>
        <v/>
      </c>
      <c r="I7" s="113" t="n">
        <v>16</v>
      </c>
      <c r="J7" s="113" t="n">
        <v>29</v>
      </c>
      <c r="K7" s="114">
        <f>J7/I7</f>
        <v/>
      </c>
      <c r="L7" s="113" t="n">
        <v>6.22</v>
      </c>
      <c r="M7" s="113" t="n">
        <v>0.33</v>
      </c>
    </row>
    <row r="8">
      <c r="A8" s="112" t="inlineStr">
        <is>
          <t>DI834</t>
        </is>
      </c>
      <c r="B8" s="113" t="n">
        <v>57</v>
      </c>
      <c r="C8" s="113" t="n">
        <v>3</v>
      </c>
      <c r="D8" s="113" t="n">
        <v>15</v>
      </c>
      <c r="E8" s="114">
        <f>D8-C8</f>
        <v/>
      </c>
      <c r="F8" s="113" t="n">
        <v>0</v>
      </c>
      <c r="G8" s="113" t="n">
        <v>4</v>
      </c>
      <c r="H8" s="114">
        <f>IF(F8=0, G8, G8/F8)</f>
        <v/>
      </c>
      <c r="I8" s="113" t="n">
        <v>12</v>
      </c>
      <c r="J8" s="113" t="n">
        <v>14</v>
      </c>
      <c r="K8" s="114">
        <f>J8/I8</f>
        <v/>
      </c>
      <c r="L8" s="113" t="n">
        <v>2.63</v>
      </c>
      <c r="M8" s="113" t="n">
        <v>0.15</v>
      </c>
    </row>
    <row r="9">
      <c r="A9" s="112" t="inlineStr">
        <is>
          <t>DI835</t>
        </is>
      </c>
      <c r="B9" s="113" t="n">
        <v>73</v>
      </c>
      <c r="C9" s="113" t="n">
        <v>10</v>
      </c>
      <c r="D9" s="113" t="n">
        <v>17</v>
      </c>
      <c r="E9" s="114">
        <f>D9-C9</f>
        <v/>
      </c>
      <c r="F9" s="113" t="n">
        <v>0</v>
      </c>
      <c r="G9" s="113" t="n">
        <v>4</v>
      </c>
      <c r="H9" s="114">
        <f>IF(F9=0, G9, G9/F9)</f>
        <v/>
      </c>
      <c r="I9" s="113" t="n">
        <v>10</v>
      </c>
      <c r="J9" s="113" t="n">
        <v>12</v>
      </c>
      <c r="K9" s="114">
        <f>J9/I9</f>
        <v/>
      </c>
      <c r="L9" s="113" t="n">
        <v>3.71</v>
      </c>
      <c r="M9" s="113" t="n">
        <v>0.2</v>
      </c>
    </row>
    <row r="10">
      <c r="A10" s="112" t="inlineStr">
        <is>
          <t>DI836</t>
        </is>
      </c>
      <c r="B10" s="113" t="n">
        <v>160</v>
      </c>
      <c r="C10" s="113" t="n">
        <v>7</v>
      </c>
      <c r="D10" s="113" t="n">
        <v>24</v>
      </c>
      <c r="E10" s="114">
        <f>D10-C10</f>
        <v/>
      </c>
      <c r="F10" s="113" t="n">
        <v>0</v>
      </c>
      <c r="G10" s="113" t="n">
        <v>10</v>
      </c>
      <c r="H10" s="114">
        <f>IF(F10=0, G10, G10/F10)</f>
        <v/>
      </c>
      <c r="I10" s="113" t="n">
        <v>13</v>
      </c>
      <c r="J10" s="113" t="n">
        <v>18</v>
      </c>
      <c r="K10" s="114">
        <f>J10/I10</f>
        <v/>
      </c>
      <c r="L10" s="113" t="n">
        <v>9.6</v>
      </c>
      <c r="M10" s="113" t="n">
        <v>0.49</v>
      </c>
    </row>
    <row r="11">
      <c r="A11" s="112" t="inlineStr">
        <is>
          <t>DI837</t>
        </is>
      </c>
      <c r="B11" s="113" t="n">
        <v>79</v>
      </c>
      <c r="C11" s="113" t="n">
        <v>17</v>
      </c>
      <c r="D11" s="113" t="n">
        <v>22</v>
      </c>
      <c r="E11" s="114">
        <f>D11-C11</f>
        <v/>
      </c>
      <c r="F11" s="113" t="n">
        <v>1</v>
      </c>
      <c r="G11" s="113" t="n">
        <v>4</v>
      </c>
      <c r="H11" s="114">
        <f>IF(F11=0, G11, G11/F11)</f>
        <v/>
      </c>
      <c r="I11" s="113" t="n">
        <v>11</v>
      </c>
      <c r="J11" s="113" t="n">
        <v>10</v>
      </c>
      <c r="K11" s="114">
        <f>J11/I11</f>
        <v/>
      </c>
      <c r="L11" s="113" t="n">
        <v>4.12</v>
      </c>
      <c r="M11" s="113" t="n">
        <v>0.22</v>
      </c>
    </row>
    <row r="12">
      <c r="A12" s="112" t="inlineStr">
        <is>
          <t>DI841</t>
        </is>
      </c>
      <c r="B12" s="113" t="n">
        <v>76</v>
      </c>
      <c r="C12" s="113" t="n">
        <v>3</v>
      </c>
      <c r="D12" s="113" t="n">
        <v>7</v>
      </c>
      <c r="E12" s="114">
        <f>D12-C12</f>
        <v/>
      </c>
      <c r="F12" s="113" t="n">
        <v>0</v>
      </c>
      <c r="G12" s="113" t="n">
        <v>1</v>
      </c>
      <c r="H12" s="114">
        <f>IF(F12=0, G12, G12/F12)</f>
        <v/>
      </c>
      <c r="I12" s="113" t="n">
        <v>9</v>
      </c>
      <c r="J12" s="113" t="n">
        <v>25</v>
      </c>
      <c r="K12" s="114">
        <f>J12/I12</f>
        <v/>
      </c>
      <c r="L12" s="113" t="n">
        <v>3.92</v>
      </c>
      <c r="M12" s="113" t="n">
        <v>0.21</v>
      </c>
    </row>
    <row r="13">
      <c r="A13" s="112" t="inlineStr">
        <is>
          <t>DI838</t>
        </is>
      </c>
      <c r="B13" s="113" t="n">
        <v>68</v>
      </c>
      <c r="C13" s="113" t="n">
        <v>6</v>
      </c>
      <c r="D13" s="113" t="n">
        <v>26</v>
      </c>
      <c r="E13" s="114">
        <f>D13-C13</f>
        <v/>
      </c>
      <c r="F13" s="113" t="n">
        <v>0</v>
      </c>
      <c r="G13" s="113" t="n">
        <v>4</v>
      </c>
      <c r="H13" s="114">
        <f>IF(F13=0, G13, G13/F13)</f>
        <v/>
      </c>
      <c r="I13" s="113" t="n">
        <v>15</v>
      </c>
      <c r="J13" s="113" t="n">
        <v>23</v>
      </c>
      <c r="K13" s="114">
        <f>J13/I13</f>
        <v/>
      </c>
      <c r="L13" s="113" t="n">
        <v>3.38</v>
      </c>
      <c r="M13" s="113" t="n">
        <v>0.19</v>
      </c>
    </row>
    <row r="14">
      <c r="A14" s="112" t="inlineStr">
        <is>
          <t>DI845</t>
        </is>
      </c>
      <c r="B14" s="113" t="n">
        <v>56</v>
      </c>
      <c r="C14" s="113" t="n">
        <v>9</v>
      </c>
      <c r="D14" s="113" t="n">
        <v>22</v>
      </c>
      <c r="E14" s="114">
        <f>D14-C14</f>
        <v/>
      </c>
      <c r="F14" s="113" t="n">
        <v>0</v>
      </c>
      <c r="G14" s="113" t="n">
        <v>4</v>
      </c>
      <c r="H14" s="114">
        <f>IF(F14=0, G14, G14/F14)</f>
        <v/>
      </c>
      <c r="I14" s="113" t="n">
        <v>18</v>
      </c>
      <c r="J14" s="113" t="n">
        <v>14</v>
      </c>
      <c r="K14" s="114">
        <f>J14/I14</f>
        <v/>
      </c>
      <c r="L14" s="113" t="n">
        <v>2.56</v>
      </c>
      <c r="M14" s="113" t="n">
        <v>0.15</v>
      </c>
    </row>
    <row r="15">
      <c r="A15" s="112" t="inlineStr">
        <is>
          <t>DI846</t>
        </is>
      </c>
      <c r="B15" s="113" t="n">
        <v>130</v>
      </c>
      <c r="C15" s="113" t="n">
        <v>6</v>
      </c>
      <c r="D15" s="113" t="n">
        <v>31</v>
      </c>
      <c r="E15" s="114">
        <f>D15-C15</f>
        <v/>
      </c>
      <c r="F15" s="113" t="n">
        <v>0</v>
      </c>
      <c r="G15" s="113" t="n">
        <v>5</v>
      </c>
      <c r="H15" s="114">
        <f>IF(F15=0, G15, G15/F15)</f>
        <v/>
      </c>
      <c r="I15" s="113" t="n">
        <v>26</v>
      </c>
      <c r="J15" s="113" t="n">
        <v>28</v>
      </c>
      <c r="K15" s="114">
        <f>J15/I15</f>
        <v/>
      </c>
      <c r="L15" s="113" t="n">
        <v>7.57</v>
      </c>
      <c r="M15" s="113" t="n">
        <v>0.39</v>
      </c>
    </row>
    <row r="16">
      <c r="A16" s="112" t="inlineStr">
        <is>
          <t>DI849</t>
        </is>
      </c>
      <c r="B16" s="113" t="n">
        <v>92</v>
      </c>
      <c r="C16" s="113" t="n">
        <v>4</v>
      </c>
      <c r="D16" s="113" t="n">
        <v>27</v>
      </c>
      <c r="E16" s="114">
        <f>D16-C16</f>
        <v/>
      </c>
      <c r="F16" s="113" t="n">
        <v>0</v>
      </c>
      <c r="G16" s="113" t="n">
        <v>4</v>
      </c>
      <c r="H16" s="114">
        <f>IF(F16=0, G16, G16/F16)</f>
        <v/>
      </c>
      <c r="I16" s="113" t="n">
        <v>17</v>
      </c>
      <c r="J16" s="113" t="n">
        <v>17</v>
      </c>
      <c r="K16" s="114">
        <f>J16/I16</f>
        <v/>
      </c>
      <c r="L16" s="113" t="n">
        <v>5</v>
      </c>
      <c r="M16" s="113" t="n">
        <v>0.27</v>
      </c>
    </row>
    <row r="17">
      <c r="A17" s="115" t="inlineStr">
        <is>
          <t>Mean</t>
        </is>
      </c>
      <c r="B17" s="116">
        <f>AVERAGE(B5:B16)</f>
        <v/>
      </c>
      <c r="C17" s="116">
        <f>AVERAGE(C5:C16)</f>
        <v/>
      </c>
      <c r="D17" s="116">
        <f>AVERAGE(D5:D16)</f>
        <v/>
      </c>
      <c r="E17" s="116">
        <f>AVERAGE(E5:E16)</f>
        <v/>
      </c>
      <c r="F17" s="116">
        <f>AVERAGE(F5:F16)</f>
        <v/>
      </c>
      <c r="G17" s="116">
        <f>AVERAGE(G5:G16)</f>
        <v/>
      </c>
      <c r="H17" s="116">
        <f>AVERAGE(H5:H16)</f>
        <v/>
      </c>
      <c r="I17" s="116">
        <f>AVERAGE(I5:I16)</f>
        <v/>
      </c>
      <c r="J17" s="116">
        <f>AVERAGE(J5:J16)</f>
        <v/>
      </c>
      <c r="K17" s="116">
        <f>AVERAGE(K5:K16)</f>
        <v/>
      </c>
      <c r="L17" s="116">
        <f>AVERAGE(L5:L16)</f>
        <v/>
      </c>
      <c r="M17" s="116">
        <f>AVERAGE(M5:M16)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 outlineLevelCol="0"/>
  <cols>
    <col width="12" customWidth="1" style="55" min="1" max="1"/>
    <col width="14" customWidth="1" style="55" min="2" max="2"/>
    <col width="20" customWidth="1" style="55" min="3" max="3"/>
    <col width="23" customWidth="1" style="55" min="4" max="4"/>
    <col width="23" customWidth="1" style="55" min="5" max="5"/>
    <col width="20" customWidth="1" style="55" min="6" max="6"/>
    <col width="23" customWidth="1" style="55" min="7" max="7"/>
    <col width="23" customWidth="1" style="55" min="8" max="8"/>
    <col width="31" customWidth="1" style="55" min="9" max="9"/>
    <col width="34" customWidth="1" style="55" min="10" max="10"/>
  </cols>
  <sheetData>
    <row r="1">
      <c r="A1" s="109" t="inlineStr">
        <is>
          <t>FIGURE 3: MIDWAY RECRUITMENT EMPIRICAL VALUES (MR-LF &amp; MR-SO)</t>
        </is>
      </c>
    </row>
    <row r="2"/>
    <row r="3">
      <c r="A3" s="117" t="inlineStr">
        <is>
          <t>Colony ID</t>
        </is>
      </c>
      <c r="B3" s="117" t="inlineStr">
        <is>
          <t>Colony Size</t>
        </is>
      </c>
      <c r="C3" s="117" t="inlineStr">
        <is>
          <t>MR-LF % (Control)</t>
        </is>
      </c>
      <c r="D3" s="117" t="inlineStr">
        <is>
          <t>MR-LF % (Bottleneck)</t>
        </is>
      </c>
      <c r="E3" s="117" t="inlineStr">
        <is>
          <t>MR-LF Relative Surge</t>
        </is>
      </c>
      <c r="F3" s="117" t="inlineStr">
        <is>
          <t>MR-SO % (Control)</t>
        </is>
      </c>
      <c r="G3" s="117" t="inlineStr">
        <is>
          <t>MR-SO % (Bottleneck)</t>
        </is>
      </c>
      <c r="H3" s="117" t="inlineStr">
        <is>
          <t>MR-SO Relative Surge</t>
        </is>
      </c>
      <c r="I3" s="117" t="inlineStr">
        <is>
          <t>Unique Tandem Runs (Control)</t>
        </is>
      </c>
      <c r="J3" s="117" t="inlineStr">
        <is>
          <t>Unique Tandem Runs (Bottleneck)</t>
        </is>
      </c>
    </row>
    <row r="4">
      <c r="A4" s="112" t="inlineStr">
        <is>
          <t>DI831</t>
        </is>
      </c>
      <c r="B4" s="113" t="n">
        <v>54</v>
      </c>
      <c r="C4" s="118" t="n">
        <v>0.1388889</v>
      </c>
      <c r="D4" s="118" t="n">
        <v>0.28125</v>
      </c>
      <c r="E4" s="119">
        <f>(D4-C4)/C4</f>
        <v/>
      </c>
      <c r="F4" s="118" t="n">
        <v>0.1111111</v>
      </c>
      <c r="G4" s="118" t="n">
        <v>0.125</v>
      </c>
      <c r="H4" s="119">
        <f>(G4-F4)/F4</f>
        <v/>
      </c>
      <c r="I4" s="113" t="n">
        <v>36</v>
      </c>
      <c r="J4" s="113" t="n">
        <v>32</v>
      </c>
    </row>
    <row r="5">
      <c r="A5" s="112" t="inlineStr">
        <is>
          <t>DI832</t>
        </is>
      </c>
      <c r="B5" s="113" t="n">
        <v>90</v>
      </c>
      <c r="C5" s="118" t="n">
        <v>0.05063291</v>
      </c>
      <c r="D5" s="118" t="n">
        <v>0.3731343</v>
      </c>
      <c r="E5" s="119">
        <f>(D5-C5)/C5</f>
        <v/>
      </c>
      <c r="F5" s="118" t="n">
        <v>0.05063291</v>
      </c>
      <c r="G5" s="118" t="n">
        <v>0.1492537</v>
      </c>
      <c r="H5" s="119">
        <f>(G5-F5)/F5</f>
        <v/>
      </c>
      <c r="I5" s="113" t="n">
        <v>79</v>
      </c>
      <c r="J5" s="113" t="n">
        <v>67</v>
      </c>
    </row>
    <row r="6">
      <c r="A6" s="112" t="inlineStr">
        <is>
          <t>DI833</t>
        </is>
      </c>
      <c r="B6" s="113" t="n">
        <v>110</v>
      </c>
      <c r="C6" s="118" t="n">
        <v>0.1538462</v>
      </c>
      <c r="D6" s="118" t="n">
        <v>0.3134328</v>
      </c>
      <c r="E6" s="119">
        <f>(D6-C6)/C6</f>
        <v/>
      </c>
      <c r="F6" s="118" t="n">
        <v>0.01282051</v>
      </c>
      <c r="G6" s="118" t="n">
        <v>0.01492537</v>
      </c>
      <c r="H6" s="119">
        <f>(G6-F6)/F6</f>
        <v/>
      </c>
      <c r="I6" s="113" t="n">
        <v>78</v>
      </c>
      <c r="J6" s="113" t="n">
        <v>67</v>
      </c>
    </row>
    <row r="7">
      <c r="A7" s="112" t="inlineStr">
        <is>
          <t>DI834</t>
        </is>
      </c>
      <c r="B7" s="113" t="n">
        <v>57</v>
      </c>
      <c r="C7" s="118" t="n">
        <v>0.2571429</v>
      </c>
      <c r="D7" s="118" t="n">
        <v>0.2096774</v>
      </c>
      <c r="E7" s="119">
        <f>(D7-C7)/C7</f>
        <v/>
      </c>
      <c r="F7" s="118" t="n">
        <v>0.05714286</v>
      </c>
      <c r="G7" s="118" t="n">
        <v>0.1612903</v>
      </c>
      <c r="H7" s="119">
        <f>(G7-F7)/F7</f>
        <v/>
      </c>
      <c r="I7" s="113" t="n">
        <v>35</v>
      </c>
      <c r="J7" s="113" t="n">
        <v>62</v>
      </c>
    </row>
    <row r="8">
      <c r="A8" s="112" t="inlineStr">
        <is>
          <t>DI835</t>
        </is>
      </c>
      <c r="B8" s="113" t="n">
        <v>73</v>
      </c>
      <c r="C8" s="118" t="n">
        <v>0.04918033</v>
      </c>
      <c r="D8" s="118" t="n">
        <v>0.2619048</v>
      </c>
      <c r="E8" s="119">
        <f>(D8-C8)/C8</f>
        <v/>
      </c>
      <c r="F8" s="118" t="n">
        <v>0.06557377</v>
      </c>
      <c r="G8" s="118" t="n">
        <v>0.09523810000000001</v>
      </c>
      <c r="H8" s="119">
        <f>(G8-F8)/F8</f>
        <v/>
      </c>
      <c r="I8" s="113" t="n">
        <v>61</v>
      </c>
      <c r="J8" s="113" t="n">
        <v>42</v>
      </c>
    </row>
    <row r="9">
      <c r="A9" s="112" t="inlineStr">
        <is>
          <t>DI836</t>
        </is>
      </c>
      <c r="B9" s="113" t="n">
        <v>160</v>
      </c>
      <c r="C9" s="118" t="n">
        <v>0.1097561</v>
      </c>
      <c r="D9" s="118" t="n">
        <v>0.1829268</v>
      </c>
      <c r="E9" s="119">
        <f>(D9-C9)/C9</f>
        <v/>
      </c>
      <c r="F9" s="118" t="n">
        <v>0.04878049</v>
      </c>
      <c r="G9" s="118" t="n">
        <v>0.07317073</v>
      </c>
      <c r="H9" s="119">
        <f>(G9-F9)/F9</f>
        <v/>
      </c>
      <c r="I9" s="113" t="n">
        <v>82</v>
      </c>
      <c r="J9" s="113" t="n">
        <v>82</v>
      </c>
    </row>
    <row r="10">
      <c r="A10" s="112" t="inlineStr">
        <is>
          <t>DI837</t>
        </is>
      </c>
      <c r="B10" s="113" t="n">
        <v>79</v>
      </c>
      <c r="C10" s="118" t="n">
        <v>0.3</v>
      </c>
      <c r="D10" s="118" t="n">
        <v>0.5526316</v>
      </c>
      <c r="E10" s="119">
        <f>(D10-C10)/C10</f>
        <v/>
      </c>
      <c r="F10" s="118" t="n">
        <v>0.03333333</v>
      </c>
      <c r="G10" s="118" t="n">
        <v>0.07894737</v>
      </c>
      <c r="H10" s="119">
        <f>(G10-F10)/F10</f>
        <v/>
      </c>
      <c r="I10" s="113" t="n">
        <v>60</v>
      </c>
      <c r="J10" s="113" t="n">
        <v>38</v>
      </c>
    </row>
    <row r="11">
      <c r="A11" s="112" t="inlineStr">
        <is>
          <t>DI841</t>
        </is>
      </c>
      <c r="B11" s="113" t="n">
        <v>76</v>
      </c>
      <c r="C11" s="118" t="n">
        <v>0.1052632</v>
      </c>
      <c r="D11" s="118" t="n">
        <v>0.1929825</v>
      </c>
      <c r="E11" s="119">
        <f>(D11-C11)/C11</f>
        <v/>
      </c>
      <c r="F11" s="118" t="n">
        <v>0</v>
      </c>
      <c r="G11" s="118" t="n">
        <v>0.1052632</v>
      </c>
      <c r="H11" s="119">
        <f>(G11-F11)/F11</f>
        <v/>
      </c>
      <c r="I11" s="113" t="n">
        <v>57</v>
      </c>
      <c r="J11" s="113" t="n">
        <v>57</v>
      </c>
    </row>
    <row r="12">
      <c r="A12" s="112" t="inlineStr">
        <is>
          <t>DI838</t>
        </is>
      </c>
      <c r="B12" s="113" t="n">
        <v>68</v>
      </c>
      <c r="C12" s="118" t="n">
        <v>0.1627907</v>
      </c>
      <c r="D12" s="118" t="n">
        <v>0.1666667</v>
      </c>
      <c r="E12" s="119">
        <f>(D12-C12)/C12</f>
        <v/>
      </c>
      <c r="F12" s="118" t="n">
        <v>0.1162791</v>
      </c>
      <c r="G12" s="118" t="n">
        <v>0.04545455</v>
      </c>
      <c r="H12" s="119">
        <f>(G12-F12)/F12</f>
        <v/>
      </c>
      <c r="I12" s="113" t="n">
        <v>43</v>
      </c>
      <c r="J12" s="113" t="n">
        <v>66</v>
      </c>
    </row>
    <row r="13">
      <c r="A13" s="112" t="inlineStr">
        <is>
          <t>DI845</t>
        </is>
      </c>
      <c r="B13" s="113" t="n">
        <v>56</v>
      </c>
      <c r="C13" s="118" t="n">
        <v>0.06666667</v>
      </c>
      <c r="D13" s="118" t="n">
        <v>0.2058824</v>
      </c>
      <c r="E13" s="119">
        <f>(D13-C13)/C13</f>
        <v/>
      </c>
      <c r="F13" s="118" t="n">
        <v>0</v>
      </c>
      <c r="G13" s="118" t="n">
        <v>0</v>
      </c>
      <c r="H13" s="119">
        <f>(G13-F13)/F13</f>
        <v/>
      </c>
      <c r="I13" s="113" t="n">
        <v>30</v>
      </c>
      <c r="J13" s="113" t="n">
        <v>34</v>
      </c>
    </row>
    <row r="14">
      <c r="A14" s="112" t="inlineStr">
        <is>
          <t>DI846</t>
        </is>
      </c>
      <c r="B14" s="113" t="n">
        <v>130</v>
      </c>
      <c r="C14" s="118" t="n">
        <v>0.07594937</v>
      </c>
      <c r="D14" s="118" t="n">
        <v>0.3134328</v>
      </c>
      <c r="E14" s="119">
        <f>(D14-C14)/C14</f>
        <v/>
      </c>
      <c r="F14" s="118" t="n">
        <v>0.01265823</v>
      </c>
      <c r="G14" s="118" t="n">
        <v>0.02985075</v>
      </c>
      <c r="H14" s="119">
        <f>(G14-F14)/F14</f>
        <v/>
      </c>
      <c r="I14" s="113" t="n">
        <v>79</v>
      </c>
      <c r="J14" s="113" t="n">
        <v>67</v>
      </c>
    </row>
    <row r="15">
      <c r="A15" s="112" t="inlineStr">
        <is>
          <t>DI849</t>
        </is>
      </c>
      <c r="B15" s="113" t="n">
        <v>92</v>
      </c>
      <c r="C15" s="118" t="n">
        <v>0.09859155</v>
      </c>
      <c r="D15" s="118" t="n">
        <v>0.25</v>
      </c>
      <c r="E15" s="119">
        <f>(D15-C15)/C15</f>
        <v/>
      </c>
      <c r="F15" s="118" t="n">
        <v>0</v>
      </c>
      <c r="G15" s="118" t="n">
        <v>0</v>
      </c>
      <c r="H15" s="119">
        <f>(G15-F15)/F15</f>
        <v/>
      </c>
      <c r="I15" s="113" t="n">
        <v>71</v>
      </c>
      <c r="J15" s="113" t="n">
        <v>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 outlineLevelCol="0"/>
  <cols>
    <col width="45" customWidth="1" style="55" min="1" max="1"/>
    <col width="28" customWidth="1" style="55" min="2" max="2"/>
    <col width="22" customWidth="1" style="55" min="3" max="3"/>
    <col width="26" customWidth="1" style="55" min="4" max="4"/>
    <col width="18" customWidth="1" style="55" min="5" max="5"/>
    <col width="31" customWidth="1" style="55" min="6" max="6"/>
  </cols>
  <sheetData>
    <row r="1">
      <c r="A1" s="109" t="inlineStr">
        <is>
          <t>FIGURE 4: TEMPORAL JAM DECILES &amp; POLAR ORDER PARAMETER TIME SERIES</t>
        </is>
      </c>
    </row>
    <row r="2"/>
    <row r="3">
      <c r="A3" s="120" t="inlineStr">
        <is>
          <t>Section 1: Empirical Jam Temporal Concentration across 10 Relocation Deciles</t>
        </is>
      </c>
    </row>
    <row r="4">
      <c r="A4" s="121" t="inlineStr">
        <is>
          <t>Decile Window</t>
        </is>
      </c>
      <c r="B4" s="121" t="inlineStr">
        <is>
          <t>Relocation Progress Range</t>
        </is>
      </c>
      <c r="C4" s="121" t="inlineStr">
        <is>
          <t>Observed Jams Count</t>
        </is>
      </c>
      <c r="D4" s="121" t="inlineStr">
        <is>
          <t>Proportion of Total (%)</t>
        </is>
      </c>
      <c r="E4" s="121" t="inlineStr">
        <is>
          <t>Cumulative Jams</t>
        </is>
      </c>
      <c r="F4" s="121" t="inlineStr">
        <is>
          <t>Phase Description</t>
        </is>
      </c>
    </row>
    <row r="5">
      <c r="A5" s="112" t="inlineStr">
        <is>
          <t>Decile 1</t>
        </is>
      </c>
      <c r="B5" s="112" t="inlineStr">
        <is>
          <t>0-10%</t>
        </is>
      </c>
      <c r="C5" s="113" t="n">
        <v>2</v>
      </c>
      <c r="D5" s="118" t="n">
        <v>0.03508771929824561</v>
      </c>
      <c r="E5" s="113" t="n">
        <v>2</v>
      </c>
      <c r="F5" s="122" t="inlineStr">
        <is>
          <t>Early discovery &amp; departure</t>
        </is>
      </c>
    </row>
    <row r="6">
      <c r="A6" s="112" t="inlineStr">
        <is>
          <t>Decile 2</t>
        </is>
      </c>
      <c r="B6" s="112" t="inlineStr">
        <is>
          <t>11-20%</t>
        </is>
      </c>
      <c r="C6" s="113" t="n">
        <v>0</v>
      </c>
      <c r="D6" s="118" t="n">
        <v>0</v>
      </c>
      <c r="E6" s="113" t="n">
        <v>2</v>
      </c>
      <c r="F6" s="122" t="inlineStr">
        <is>
          <t>Early discovery &amp; departure</t>
        </is>
      </c>
    </row>
    <row r="7">
      <c r="A7" s="112" t="inlineStr">
        <is>
          <t>Decile 3</t>
        </is>
      </c>
      <c r="B7" s="112" t="inlineStr">
        <is>
          <t>21-30%</t>
        </is>
      </c>
      <c r="C7" s="113" t="n">
        <v>8</v>
      </c>
      <c r="D7" s="118" t="n">
        <v>0.1403508771929824</v>
      </c>
      <c r="E7" s="113" t="n">
        <v>10</v>
      </c>
      <c r="F7" s="122" t="inlineStr">
        <is>
          <t>Late relocation clean-up</t>
        </is>
      </c>
    </row>
    <row r="8">
      <c r="A8" s="112" t="inlineStr">
        <is>
          <t>Decile 4</t>
        </is>
      </c>
      <c r="B8" s="112" t="inlineStr">
        <is>
          <t>31-40%</t>
        </is>
      </c>
      <c r="C8" s="113" t="n">
        <v>4</v>
      </c>
      <c r="D8" s="118" t="n">
        <v>0.07017543859649122</v>
      </c>
      <c r="E8" s="113" t="n">
        <v>14</v>
      </c>
      <c r="F8" s="122" t="inlineStr">
        <is>
          <t>Late relocation clean-up</t>
        </is>
      </c>
    </row>
    <row r="9">
      <c r="A9" s="123" t="inlineStr">
        <is>
          <t>Decile 5</t>
        </is>
      </c>
      <c r="B9" s="123" t="inlineStr">
        <is>
          <t>41-50%</t>
        </is>
      </c>
      <c r="C9" s="124" t="n">
        <v>8</v>
      </c>
      <c r="D9" s="125" t="n">
        <v>0.1403508771929824</v>
      </c>
      <c r="E9" s="124" t="n">
        <v>22</v>
      </c>
      <c r="F9" s="126" t="inlineStr">
        <is>
          <t>Peak congestion accumulation</t>
        </is>
      </c>
    </row>
    <row r="10">
      <c r="A10" s="123" t="inlineStr">
        <is>
          <t>Decile 6</t>
        </is>
      </c>
      <c r="B10" s="123" t="inlineStr">
        <is>
          <t>51-60%</t>
        </is>
      </c>
      <c r="C10" s="124" t="n">
        <v>9</v>
      </c>
      <c r="D10" s="125" t="n">
        <v>0.1578947368421053</v>
      </c>
      <c r="E10" s="124" t="n">
        <v>31</v>
      </c>
      <c r="F10" s="126" t="inlineStr">
        <is>
          <t>Peak congestion accumulation</t>
        </is>
      </c>
    </row>
    <row r="11">
      <c r="A11" s="123" t="inlineStr">
        <is>
          <t>Decile 7</t>
        </is>
      </c>
      <c r="B11" s="123" t="inlineStr">
        <is>
          <t>61-70%</t>
        </is>
      </c>
      <c r="C11" s="124" t="n">
        <v>9</v>
      </c>
      <c r="D11" s="125" t="n">
        <v>0.1578947368421053</v>
      </c>
      <c r="E11" s="124" t="n">
        <v>40</v>
      </c>
      <c r="F11" s="126" t="inlineStr">
        <is>
          <t>Peak congestion accumulation</t>
        </is>
      </c>
    </row>
    <row r="12">
      <c r="A12" s="112" t="inlineStr">
        <is>
          <t>Decile 8</t>
        </is>
      </c>
      <c r="B12" s="112" t="inlineStr">
        <is>
          <t>71-80%</t>
        </is>
      </c>
      <c r="C12" s="113" t="n">
        <v>4</v>
      </c>
      <c r="D12" s="118" t="n">
        <v>0.07017543859649122</v>
      </c>
      <c r="E12" s="113" t="n">
        <v>44</v>
      </c>
      <c r="F12" s="122" t="inlineStr">
        <is>
          <t>Late relocation clean-up</t>
        </is>
      </c>
    </row>
    <row r="13">
      <c r="A13" s="112" t="inlineStr">
        <is>
          <t>Decile 9</t>
        </is>
      </c>
      <c r="B13" s="112" t="inlineStr">
        <is>
          <t>81-90%</t>
        </is>
      </c>
      <c r="C13" s="113" t="n">
        <v>6</v>
      </c>
      <c r="D13" s="118" t="n">
        <v>0.1052631578947368</v>
      </c>
      <c r="E13" s="113" t="n">
        <v>50</v>
      </c>
      <c r="F13" s="122" t="inlineStr">
        <is>
          <t>Late relocation clean-up</t>
        </is>
      </c>
    </row>
    <row r="14">
      <c r="A14" s="112" t="inlineStr">
        <is>
          <t>Decile 10</t>
        </is>
      </c>
      <c r="B14" s="112" t="inlineStr">
        <is>
          <t>91-100%</t>
        </is>
      </c>
      <c r="C14" s="113" t="n">
        <v>7</v>
      </c>
      <c r="D14" s="118" t="n">
        <v>0.1228070175438596</v>
      </c>
      <c r="E14" s="113" t="n">
        <v>57</v>
      </c>
      <c r="F14" s="122" t="inlineStr">
        <is>
          <t>Late relocation clean-up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 outlineLevelCol="0"/>
  <cols>
    <col width="11" customWidth="1" style="55" min="1" max="1"/>
    <col width="41" customWidth="1" style="55" min="2" max="2"/>
    <col width="27" customWidth="1" style="55" min="3" max="3"/>
    <col width="28" customWidth="1" style="55" min="4" max="4"/>
    <col width="31" customWidth="1" style="55" min="5" max="5"/>
    <col width="27" customWidth="1" style="55" min="6" max="6"/>
    <col width="29" customWidth="1" style="55" min="7" max="7"/>
    <col width="21" customWidth="1" style="55" min="8" max="8"/>
    <col width="16" customWidth="1" style="55" min="9" max="9"/>
    <col width="37" customWidth="1" style="55" min="10" max="10"/>
  </cols>
  <sheetData>
    <row r="1">
      <c r="A1" s="109" t="inlineStr">
        <is>
          <t>EXHAUSTIVE STATISTICAL HYPOTHESIS TESTS ON FULL MASTER DATASET</t>
        </is>
      </c>
    </row>
    <row r="2">
      <c r="A2" s="110" t="inlineStr">
        <is>
          <t>Parametric, non-parametric, exact binomial, chi-square, and regression statistics computed directly on 24 trials &amp; 56 jams</t>
        </is>
      </c>
    </row>
    <row r="3"/>
    <row r="4">
      <c r="A4" s="111" t="inlineStr">
        <is>
          <t>Test #</t>
        </is>
      </c>
      <c r="B4" s="111" t="inlineStr">
        <is>
          <t>Hypothesis / Variable</t>
        </is>
      </c>
      <c r="C4" s="111" t="inlineStr">
        <is>
          <t>Sample Size (n)</t>
        </is>
      </c>
      <c r="D4" s="111" t="inlineStr">
        <is>
          <t>Control Value (Mean ± SD)</t>
        </is>
      </c>
      <c r="E4" s="111" t="inlineStr">
        <is>
          <t>Bottleneck Value (Mean ± SD)</t>
        </is>
      </c>
      <c r="F4" s="111" t="inlineStr">
        <is>
          <t>Effect Size (Cohen's dz)</t>
        </is>
      </c>
      <c r="G4" s="111" t="inlineStr">
        <is>
          <t>Test Type</t>
        </is>
      </c>
      <c r="H4" s="111" t="inlineStr">
        <is>
          <t>Test Statistic</t>
        </is>
      </c>
      <c r="I4" s="111" t="inlineStr">
        <is>
          <t>P-Value</t>
        </is>
      </c>
      <c r="J4" s="111" t="inlineStr">
        <is>
          <t>Statistical Verdict</t>
        </is>
      </c>
    </row>
    <row r="5">
      <c r="A5" s="127" t="n">
        <v>1</v>
      </c>
      <c r="B5" s="128" t="inlineStr">
        <is>
          <t>Tandem Run Interruptions</t>
        </is>
      </c>
      <c r="C5" s="127" t="inlineStr">
        <is>
          <t>12 paired colonies</t>
        </is>
      </c>
      <c r="D5" s="128" t="inlineStr">
        <is>
          <t>8.25 ± 4.71</t>
        </is>
      </c>
      <c r="E5" s="128" t="inlineStr">
        <is>
          <t>23.67 ± 10.13</t>
        </is>
      </c>
      <c r="F5" s="128" t="inlineStr">
        <is>
          <t>1.83 (Large)</t>
        </is>
      </c>
      <c r="G5" s="128" t="inlineStr">
        <is>
          <t>Wilcoxon Signed-Rank</t>
        </is>
      </c>
      <c r="H5" s="129" t="inlineStr">
        <is>
          <t>W = 0.0, T = 0.0</t>
        </is>
      </c>
      <c r="I5" s="129" t="inlineStr">
        <is>
          <t>4.88 × 10^-4</t>
        </is>
      </c>
      <c r="J5" s="129" t="inlineStr">
        <is>
          <t>Reject H0 (2.87x surge)</t>
        </is>
      </c>
    </row>
    <row r="6">
      <c r="A6" s="112" t="n">
        <v>2</v>
      </c>
      <c r="B6" s="122" t="inlineStr">
        <is>
          <t>Traffic Jam Frequency</t>
        </is>
      </c>
      <c r="C6" s="112" t="inlineStr">
        <is>
          <t>12 paired colonies</t>
        </is>
      </c>
      <c r="D6" s="122" t="inlineStr">
        <is>
          <t>0.25 ± 0.62</t>
        </is>
      </c>
      <c r="E6" s="122" t="inlineStr">
        <is>
          <t>4.67 ± 2.99</t>
        </is>
      </c>
      <c r="F6" s="122" t="inlineStr">
        <is>
          <t>1.65 (Large)</t>
        </is>
      </c>
      <c r="G6" s="122" t="inlineStr">
        <is>
          <t>Wilcoxon Signed-Rank</t>
        </is>
      </c>
      <c r="H6" s="114" t="inlineStr">
        <is>
          <t>W = 0.0, T = 0.0</t>
        </is>
      </c>
      <c r="I6" s="114" t="inlineStr">
        <is>
          <t>4.88 × 10^-4</t>
        </is>
      </c>
      <c r="J6" s="114" t="inlineStr">
        <is>
          <t>Reject H0 (18.67x surge)</t>
        </is>
      </c>
    </row>
    <row r="7">
      <c r="A7" s="127" t="n">
        <v>3</v>
      </c>
      <c r="B7" s="128" t="inlineStr">
        <is>
          <t>Transport Phase Duration (min)</t>
        </is>
      </c>
      <c r="C7" s="127" t="inlineStr">
        <is>
          <t>12 paired colonies</t>
        </is>
      </c>
      <c r="D7" s="128" t="inlineStr">
        <is>
          <t>14.58 ± 4.54</t>
        </is>
      </c>
      <c r="E7" s="128" t="inlineStr">
        <is>
          <t>19.25 ± 6.37</t>
        </is>
      </c>
      <c r="F7" s="128" t="inlineStr">
        <is>
          <t>0.77 (Medium)</t>
        </is>
      </c>
      <c r="G7" s="128" t="inlineStr">
        <is>
          <t>Wilcoxon Signed-Rank</t>
        </is>
      </c>
      <c r="H7" s="129" t="inlineStr">
        <is>
          <t>W = 7.0</t>
        </is>
      </c>
      <c r="I7" s="129" t="inlineStr">
        <is>
          <t>0.0186</t>
        </is>
      </c>
      <c r="J7" s="129" t="inlineStr">
        <is>
          <t>Reject H0 (Modest 1.32x delay)</t>
        </is>
      </c>
    </row>
    <row r="8">
      <c r="A8" s="112" t="n">
        <v>4</v>
      </c>
      <c r="B8" s="122" t="inlineStr">
        <is>
          <t>Total Relocation Time (min)</t>
        </is>
      </c>
      <c r="C8" s="112" t="inlineStr">
        <is>
          <t>12 paired colonies</t>
        </is>
      </c>
      <c r="D8" s="122" t="inlineStr">
        <is>
          <t>24.33 ± 7.99</t>
        </is>
      </c>
      <c r="E8" s="122" t="inlineStr">
        <is>
          <t>28.75 ± 10.25</t>
        </is>
      </c>
      <c r="F8" s="122" t="inlineStr">
        <is>
          <t>0.32 (Small)</t>
        </is>
      </c>
      <c r="G8" s="122" t="inlineStr">
        <is>
          <t>Wilcoxon Signed-Rank</t>
        </is>
      </c>
      <c r="H8" s="114" t="inlineStr">
        <is>
          <t>W = 31.5</t>
        </is>
      </c>
      <c r="I8" s="114" t="inlineStr">
        <is>
          <t>0.5825</t>
        </is>
      </c>
      <c r="J8" s="114" t="inlineStr">
        <is>
          <t>Fail to Reject (No overall delay)</t>
        </is>
      </c>
    </row>
    <row r="9">
      <c r="A9" s="127" t="n">
        <v>5</v>
      </c>
      <c r="B9" s="128" t="inlineStr">
        <is>
          <t>Head-On Encounters</t>
        </is>
      </c>
      <c r="C9" s="127" t="inlineStr">
        <is>
          <t>12 paired colonies</t>
        </is>
      </c>
      <c r="D9" s="128" t="inlineStr">
        <is>
          <t>37.58 ± 16.49</t>
        </is>
      </c>
      <c r="E9" s="128" t="inlineStr">
        <is>
          <t>52.83 ± 23.52</t>
        </is>
      </c>
      <c r="F9" s="128" t="inlineStr">
        <is>
          <t>0.73 (Medium)</t>
        </is>
      </c>
      <c r="G9" s="128" t="inlineStr">
        <is>
          <t>Paired t-test</t>
        </is>
      </c>
      <c r="H9" s="129" t="inlineStr">
        <is>
          <t>t = -2.52 (df=11)</t>
        </is>
      </c>
      <c r="I9" s="129" t="inlineStr">
        <is>
          <t>0.0286</t>
        </is>
      </c>
      <c r="J9" s="129" t="inlineStr">
        <is>
          <t>Reject H0 (+40.6% encounter surge)</t>
        </is>
      </c>
    </row>
    <row r="10">
      <c r="A10" s="112" t="n">
        <v>6</v>
      </c>
      <c r="B10" s="122" t="inlineStr">
        <is>
          <t>% Successful Tandem Runs</t>
        </is>
      </c>
      <c r="C10" s="112" t="inlineStr">
        <is>
          <t>12 paired colonies</t>
        </is>
      </c>
      <c r="D10" s="122" t="inlineStr">
        <is>
          <t>82.69% ± 9.54%</t>
        </is>
      </c>
      <c r="E10" s="122" t="inlineStr">
        <is>
          <t>65.15% ± 12.59%</t>
        </is>
      </c>
      <c r="F10" s="122" t="inlineStr">
        <is>
          <t>1.42 (Large)</t>
        </is>
      </c>
      <c r="G10" s="122" t="inlineStr">
        <is>
          <t>Paired t-test</t>
        </is>
      </c>
      <c r="H10" s="114" t="inlineStr">
        <is>
          <t>t = 4.92 (df=11)</t>
        </is>
      </c>
      <c r="I10" s="114" t="inlineStr">
        <is>
          <t>4.57 × 10^-4</t>
        </is>
      </c>
      <c r="J10" s="114" t="inlineStr">
        <is>
          <t>Reject H0 (Severe contact loss)</t>
        </is>
      </c>
    </row>
    <row r="11">
      <c r="A11" s="127" t="n">
        <v>7</v>
      </c>
      <c r="B11" s="128" t="inlineStr">
        <is>
          <t>Midway Tandem Runs (Total)</t>
        </is>
      </c>
      <c r="C11" s="127" t="inlineStr">
        <is>
          <t>12 paired colonies</t>
        </is>
      </c>
      <c r="D11" s="128" t="inlineStr">
        <is>
          <t>9.58 ± 4.60</t>
        </is>
      </c>
      <c r="E11" s="128" t="inlineStr">
        <is>
          <t>19.00 ± 7.24</t>
        </is>
      </c>
      <c r="F11" s="128" t="inlineStr">
        <is>
          <t>1.39 (Large)</t>
        </is>
      </c>
      <c r="G11" s="128" t="inlineStr">
        <is>
          <t>Wilcoxon Signed-Rank</t>
        </is>
      </c>
      <c r="H11" s="129" t="inlineStr">
        <is>
          <t>W = 0.0</t>
        </is>
      </c>
      <c r="I11" s="129" t="inlineStr">
        <is>
          <t>4.88 × 10^-4</t>
        </is>
      </c>
      <c r="J11" s="129" t="inlineStr">
        <is>
          <t>Reject H0 (1.98x midway surge)</t>
        </is>
      </c>
    </row>
    <row r="12">
      <c r="A12" s="112" t="n">
        <v>8</v>
      </c>
      <c r="B12" s="122" t="inlineStr">
        <is>
          <t>Lost Follower Recruitment (MR-LF %)</t>
        </is>
      </c>
      <c r="C12" s="112" t="inlineStr">
        <is>
          <t>12 paired colonies</t>
        </is>
      </c>
      <c r="D12" s="122" t="inlineStr">
        <is>
          <t>13.07% ± 7.89%</t>
        </is>
      </c>
      <c r="E12" s="122" t="inlineStr">
        <is>
          <t>27.53% ± 10.72%</t>
        </is>
      </c>
      <c r="F12" s="122" t="inlineStr">
        <is>
          <t>1.37 (Large)</t>
        </is>
      </c>
      <c r="G12" s="122" t="inlineStr">
        <is>
          <t>Paired t-test</t>
        </is>
      </c>
      <c r="H12" s="114" t="inlineStr">
        <is>
          <t>t = -4.76 (df=11)</t>
        </is>
      </c>
      <c r="I12" s="114" t="inlineStr">
        <is>
          <t>5.92 × 10^-4</t>
        </is>
      </c>
      <c r="J12" s="114" t="inlineStr">
        <is>
          <t>Reject H0 (+110.6% salvage surge)</t>
        </is>
      </c>
    </row>
    <row r="13">
      <c r="A13" s="127" t="n">
        <v>9</v>
      </c>
      <c r="B13" s="128" t="inlineStr">
        <is>
          <t>Switching-Over Behavior (MR-SO %)</t>
        </is>
      </c>
      <c r="C13" s="127" t="inlineStr">
        <is>
          <t>12 paired colonies</t>
        </is>
      </c>
      <c r="D13" s="128" t="inlineStr">
        <is>
          <t>4.24% ± 4.08%</t>
        </is>
      </c>
      <c r="E13" s="128" t="inlineStr">
        <is>
          <t>7.32% ± 5.60%</t>
        </is>
      </c>
      <c r="F13" s="128" t="inlineStr">
        <is>
          <t>0.60 (Medium)</t>
        </is>
      </c>
      <c r="G13" s="128" t="inlineStr">
        <is>
          <t>Wilcoxon Signed-Rank</t>
        </is>
      </c>
      <c r="H13" s="129" t="inlineStr">
        <is>
          <t>W = 7.0</t>
        </is>
      </c>
      <c r="I13" s="129" t="inlineStr">
        <is>
          <t>0.0371</t>
        </is>
      </c>
      <c r="J13" s="129" t="inlineStr">
        <is>
          <t>Reject H0 (+72.8% active reversal)</t>
        </is>
      </c>
    </row>
    <row r="14">
      <c r="A14" s="112" t="n">
        <v>10</v>
      </c>
      <c r="B14" s="122" t="inlineStr">
        <is>
          <t>Jam Scaling with Colony Size</t>
        </is>
      </c>
      <c r="C14" s="112" t="inlineStr">
        <is>
          <t>12 colonies (One-lane)</t>
        </is>
      </c>
      <c r="D14" s="122" t="inlineStr">
        <is>
          <t>--</t>
        </is>
      </c>
      <c r="E14" s="122" t="inlineStr">
        <is>
          <t>--</t>
        </is>
      </c>
      <c r="F14" s="122" t="inlineStr">
        <is>
          <t>r² = 0.534</t>
        </is>
      </c>
      <c r="G14" s="122" t="inlineStr">
        <is>
          <t>Spearman Rank Correlation</t>
        </is>
      </c>
      <c r="H14" s="114" t="inlineStr">
        <is>
          <t>r_s = 0.731</t>
        </is>
      </c>
      <c r="I14" s="114" t="inlineStr">
        <is>
          <t>6.95 × 10^-3</t>
        </is>
      </c>
      <c r="J14" s="114" t="inlineStr">
        <is>
          <t>Reject H0 (Density dependence)</t>
        </is>
      </c>
    </row>
    <row r="15">
      <c r="A15" s="127" t="n">
        <v>11</v>
      </c>
      <c r="B15" s="128" t="inlineStr">
        <is>
          <t>Jam Scaling with Colony Size (Control)</t>
        </is>
      </c>
      <c r="C15" s="127" t="inlineStr">
        <is>
          <t>12 colonies (Multi-lane)</t>
        </is>
      </c>
      <c r="D15" s="128" t="inlineStr">
        <is>
          <t>--</t>
        </is>
      </c>
      <c r="E15" s="128" t="inlineStr">
        <is>
          <t>--</t>
        </is>
      </c>
      <c r="F15" s="128" t="inlineStr">
        <is>
          <t>r² = 0.006</t>
        </is>
      </c>
      <c r="G15" s="128" t="inlineStr">
        <is>
          <t>Spearman Rank Correlation</t>
        </is>
      </c>
      <c r="H15" s="129" t="inlineStr">
        <is>
          <t>r_s = 0.080</t>
        </is>
      </c>
      <c r="I15" s="129" t="inlineStr">
        <is>
          <t>0.805</t>
        </is>
      </c>
      <c r="J15" s="129" t="inlineStr">
        <is>
          <t>Fail to Reject (Baseline flat)</t>
        </is>
      </c>
    </row>
    <row r="16">
      <c r="A16" s="112" t="n">
        <v>12</v>
      </c>
      <c r="B16" s="122" t="inlineStr">
        <is>
          <t>Jam Catalyst Non-Uniformity</t>
        </is>
      </c>
      <c r="C16" s="112" t="inlineStr">
        <is>
          <t>56 empirical jams</t>
        </is>
      </c>
      <c r="D16" s="122" t="inlineStr">
        <is>
          <t>--</t>
        </is>
      </c>
      <c r="E16" s="122" t="inlineStr">
        <is>
          <t>--</t>
        </is>
      </c>
      <c r="F16" s="122" t="inlineStr">
        <is>
          <t>Cramer's V = 0.40</t>
        </is>
      </c>
      <c r="G16" s="122" t="inlineStr">
        <is>
          <t>Chi-Square Goodness-of-Fit</t>
        </is>
      </c>
      <c r="H16" s="114" t="inlineStr">
        <is>
          <t>χ² = 17.821 (df=2)</t>
        </is>
      </c>
      <c r="I16" s="114" t="inlineStr">
        <is>
          <t>1.35 × 10^-4</t>
        </is>
      </c>
      <c r="J16" s="114" t="inlineStr">
        <is>
          <t>Reject H0 (RL=58.9% dominant)</t>
        </is>
      </c>
    </row>
    <row r="17">
      <c r="A17" s="127" t="n">
        <v>13</v>
      </c>
      <c r="B17" s="128" t="inlineStr">
        <is>
          <t>Mass Orientation Polarization</t>
        </is>
      </c>
      <c r="C17" s="127" t="inlineStr">
        <is>
          <t>56 empirical jams</t>
        </is>
      </c>
      <c r="D17" s="128" t="inlineStr">
        <is>
          <t>--</t>
        </is>
      </c>
      <c r="E17" s="128" t="inlineStr">
        <is>
          <t>--</t>
        </is>
      </c>
      <c r="F17" s="128" t="inlineStr">
        <is>
          <t>Odds Ratio = 13.0</t>
        </is>
      </c>
      <c r="G17" s="128" t="inlineStr">
        <is>
          <t>Exact Binomial Test</t>
        </is>
      </c>
      <c r="H17" s="129" t="inlineStr">
        <is>
          <t>52 of 56 events</t>
        </is>
      </c>
      <c r="I17" s="129" t="inlineStr">
        <is>
          <t>5.50 × 10^-12</t>
        </is>
      </c>
      <c r="J17" s="129" t="inlineStr">
        <is>
          <t>Reject H0 (92.86% co-directional)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2026-10-07T07:12:14Z</dcterms:created>
  <dcterms:modified xmlns:dcterms="http://purl.org/dc/terms/" xmlns:xsi="http://www.w3.org/2001/XMLSchema-instance" xsi:type="dcterms:W3CDTF">2026-10-08T12:53:46Z</dcterms:modified>
  <cp:revision>0</cp:revision>
</cp:coreProperties>
</file>